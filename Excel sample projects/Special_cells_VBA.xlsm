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20520" windowHeight="9165" tabRatio="734"/>
  </bookViews>
  <sheets>
    <sheet name="SpecialCells" sheetId="2" r:id="rId1"/>
    <sheet name="SummaryData" sheetId="3" r:id="rId2"/>
    <sheet name="NewData#1" sheetId="4" r:id="rId3"/>
    <sheet name="NewData#2" sheetId="5" r:id="rId4"/>
    <sheet name="Status" sheetId="6" r:id="rId5"/>
    <sheet name="Delete" sheetId="7" r:id="rId6"/>
  </sheets>
  <calcPr calcId="145621"/>
</workbook>
</file>

<file path=xl/calcChain.xml><?xml version="1.0" encoding="utf-8"?>
<calcChain xmlns="http://schemas.openxmlformats.org/spreadsheetml/2006/main">
  <c r="E42" i="2" l="1"/>
  <c r="E41" i="2"/>
  <c r="E40" i="2"/>
  <c r="E39" i="2"/>
  <c r="E38" i="2"/>
  <c r="E36" i="2"/>
  <c r="E34" i="2"/>
  <c r="E31" i="2"/>
  <c r="E47" i="2"/>
  <c r="E32" i="2"/>
  <c r="E16" i="4" l="1"/>
  <c r="E7" i="4"/>
  <c r="E6" i="3"/>
  <c r="E6" i="2" l="1"/>
  <c r="E12" i="2"/>
</calcChain>
</file>

<file path=xl/comments1.xml><?xml version="1.0" encoding="utf-8"?>
<comments xmlns="http://schemas.openxmlformats.org/spreadsheetml/2006/main">
  <authors>
    <author>admin</author>
  </authors>
  <commentList>
    <comment ref="A5" authorId="0">
      <text>
        <r>
          <rPr>
            <b/>
            <sz val="9"/>
            <color indexed="81"/>
            <rFont val="Tahoma"/>
            <family val="2"/>
            <charset val="238"/>
          </rPr>
          <t>admin:</t>
        </r>
        <r>
          <rPr>
            <sz val="9"/>
            <color indexed="81"/>
            <rFont val="Tahoma"/>
            <family val="2"/>
            <charset val="238"/>
          </rPr>
          <t xml:space="preserve">
komment</t>
        </r>
      </text>
    </comment>
    <comment ref="B9" authorId="0">
      <text>
        <r>
          <rPr>
            <b/>
            <sz val="9"/>
            <color indexed="81"/>
            <rFont val="Tahoma"/>
            <family val="2"/>
            <charset val="238"/>
          </rPr>
          <t>admin:</t>
        </r>
        <r>
          <rPr>
            <sz val="9"/>
            <color indexed="81"/>
            <rFont val="Tahoma"/>
            <family val="2"/>
            <charset val="238"/>
          </rPr>
          <t xml:space="preserve">
komment</t>
        </r>
      </text>
    </comment>
    <comment ref="F14" authorId="0">
      <text>
        <r>
          <rPr>
            <b/>
            <sz val="9"/>
            <color indexed="81"/>
            <rFont val="Tahoma"/>
            <family val="2"/>
            <charset val="238"/>
          </rPr>
          <t>admin:</t>
        </r>
        <r>
          <rPr>
            <sz val="9"/>
            <color indexed="81"/>
            <rFont val="Tahoma"/>
            <family val="2"/>
            <charset val="238"/>
          </rPr>
          <t xml:space="preserve">
komment</t>
        </r>
      </text>
    </comment>
    <comment ref="A21" authorId="0">
      <text>
        <r>
          <rPr>
            <b/>
            <sz val="9"/>
            <color indexed="81"/>
            <rFont val="Tahoma"/>
            <family val="2"/>
            <charset val="238"/>
          </rPr>
          <t>admin:</t>
        </r>
        <r>
          <rPr>
            <sz val="9"/>
            <color indexed="81"/>
            <rFont val="Tahoma"/>
            <family val="2"/>
            <charset val="238"/>
          </rPr>
          <t xml:space="preserve">
komment</t>
        </r>
      </text>
    </comment>
    <comment ref="F23" authorId="0">
      <text>
        <r>
          <rPr>
            <b/>
            <sz val="9"/>
            <color indexed="81"/>
            <rFont val="Tahoma"/>
            <family val="2"/>
            <charset val="238"/>
          </rPr>
          <t>admin:</t>
        </r>
        <r>
          <rPr>
            <sz val="9"/>
            <color indexed="81"/>
            <rFont val="Tahoma"/>
            <family val="2"/>
            <charset val="238"/>
          </rPr>
          <t xml:space="preserve">
komment</t>
        </r>
      </text>
    </comment>
  </commentList>
</comments>
</file>

<file path=xl/sharedStrings.xml><?xml version="1.0" encoding="utf-8"?>
<sst xmlns="http://schemas.openxmlformats.org/spreadsheetml/2006/main" count="404" uniqueCount="52">
  <si>
    <t>Company</t>
  </si>
  <si>
    <t>Business Unit</t>
  </si>
  <si>
    <t>Main Unit</t>
  </si>
  <si>
    <t>Red Flag</t>
  </si>
  <si>
    <t>Entity A</t>
  </si>
  <si>
    <t>BU_1</t>
  </si>
  <si>
    <t>VC_A</t>
  </si>
  <si>
    <t>Entity B</t>
  </si>
  <si>
    <t>Entity C</t>
  </si>
  <si>
    <t>Entity D</t>
  </si>
  <si>
    <t>Entity E</t>
  </si>
  <si>
    <t>BU_2</t>
  </si>
  <si>
    <t>Entity F</t>
  </si>
  <si>
    <t>Entity G</t>
  </si>
  <si>
    <t>Entity H</t>
  </si>
  <si>
    <t>Entity I</t>
  </si>
  <si>
    <t>BU_3</t>
  </si>
  <si>
    <t>VC_B</t>
  </si>
  <si>
    <t>Entity J</t>
  </si>
  <si>
    <t>Entity K</t>
  </si>
  <si>
    <t>Entity L</t>
  </si>
  <si>
    <t>BU_4</t>
  </si>
  <si>
    <t>Entity M</t>
  </si>
  <si>
    <t>Entity N</t>
  </si>
  <si>
    <t>Entity O</t>
  </si>
  <si>
    <t>Entity P</t>
  </si>
  <si>
    <t>BU_5</t>
  </si>
  <si>
    <t>Entity Q</t>
  </si>
  <si>
    <t>BU_6</t>
  </si>
  <si>
    <t>VC_C</t>
  </si>
  <si>
    <t>Entity R</t>
  </si>
  <si>
    <t>Entity S</t>
  </si>
  <si>
    <t>Entity T</t>
  </si>
  <si>
    <t>Entity U</t>
  </si>
  <si>
    <t>BU_7</t>
  </si>
  <si>
    <t>Entity V</t>
  </si>
  <si>
    <t>Entity W</t>
  </si>
  <si>
    <t>Entity X</t>
  </si>
  <si>
    <t>Entity Y</t>
  </si>
  <si>
    <t>BU_8</t>
  </si>
  <si>
    <t>Entity Z</t>
  </si>
  <si>
    <t>Actual Revenue</t>
  </si>
  <si>
    <t>Budget Revenue</t>
  </si>
  <si>
    <t>Y</t>
  </si>
  <si>
    <t>N</t>
  </si>
  <si>
    <t>NewData#1 és NewData#2 fülön lévő adatok összemásolása</t>
  </si>
  <si>
    <t>Input a number in cell B3 to get status in C3</t>
  </si>
  <si>
    <t>Status as follows:</t>
  </si>
  <si>
    <t>1. cell value is between 1 to 200 --&gt; Good</t>
  </si>
  <si>
    <t>2. cell value Is 0 status should be empty</t>
  </si>
  <si>
    <t>3. cell value is greater than 200 --&gt; Excellent</t>
  </si>
  <si>
    <t>4. cell value is less than 0 --&gt; Bad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</si>
</sst>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_(* #,##0_);_(* \(#,##0\);_(* &quot;-&quot;??_);_(@_)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  <charset val="238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b/>
      <sz val="11"/>
      <color theme="1"/>
      <name val="Calibri"/>
      <family val="2"/>
      <charset val="23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5">
    <xf numFmtId="0" fontId="0" fillId="0" borderId="0" xfId="0"/>
    <xf numFmtId="0" fontId="2" fillId="2" borderId="1" xfId="0" applyNumberFormat="1" applyFont="1" applyFill="1" applyBorder="1" applyAlignment="1">
      <alignment wrapText="1"/>
    </xf>
    <xf numFmtId="165" fontId="0" fillId="0" borderId="0" xfId="1" applyNumberFormat="1" applyFont="1"/>
    <xf numFmtId="165" fontId="0" fillId="0" borderId="0" xfId="0" applyNumberFormat="1"/>
    <xf numFmtId="0" fontId="3" fillId="0" borderId="2" xfId="0" applyFont="1" applyBorder="1"/>
    <xf numFmtId="0" fontId="2" fillId="2" borderId="1" xfId="0" applyNumberFormat="1" applyFont="1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/>
    <xf numFmtId="165" fontId="0" fillId="0" borderId="0" xfId="1" applyNumberFormat="1" applyFont="1"/>
    <xf numFmtId="165" fontId="0" fillId="0" borderId="0" xfId="1" applyNumberFormat="1" applyFont="1" applyFill="1"/>
    <xf numFmtId="0" fontId="7" fillId="3" borderId="3" xfId="0" applyFont="1" applyFill="1" applyBorder="1" applyAlignment="1">
      <alignment horizontal="center" vertical="center"/>
    </xf>
    <xf numFmtId="0" fontId="7" fillId="4" borderId="4" xfId="0" applyFont="1" applyFill="1" applyBorder="1" applyAlignment="1">
      <alignment horizontal="center" vertical="center"/>
    </xf>
    <xf numFmtId="0" fontId="0" fillId="0" borderId="0" xfId="0" applyAlignment="1">
      <alignment horizontal="center" wrapText="1"/>
    </xf>
    <xf numFmtId="0" fontId="0" fillId="5" borderId="0" xfId="0" applyFill="1"/>
    <xf numFmtId="165" fontId="0" fillId="5" borderId="0" xfId="0" applyNumberFormat="1" applyFill="1"/>
  </cellXfs>
  <cellStyles count="2">
    <cellStyle name="Comma 2" xfId="1"/>
    <cellStyle name="Normál" xfId="0" builtinId="0"/>
  </cellStyles>
  <dxfs count="0"/>
  <tableStyles count="0" defaultTableStyle="TableStyleMedium2" defaultPivotStyle="PivotStyleLight16"/>
  <colors>
    <mruColors>
      <color rgb="FF2981B9"/>
      <color rgb="FFE6834F"/>
      <color rgb="FF9DA85E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3" Type="http://schemas.openxmlformats.org/officeDocument/2006/relationships/image" Target="../media/image2.png"/><Relationship Id="rId201" Type="http://schemas.openxmlformats.org/officeDocument/2006/relationships/image" Target="../media/image7.png"/><Relationship Id="rId200" Type="http://schemas.openxmlformats.org/officeDocument/2006/relationships/image" Target="../media/image6.png"/><Relationship Id="rId132" Type="http://schemas.openxmlformats.org/officeDocument/2006/relationships/image" Target="../media/image132.svg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136" Type="http://schemas.openxmlformats.org/officeDocument/2006/relationships/image" Target="../media/image4.png"/><Relationship Id="rId102" Type="http://schemas.openxmlformats.org/officeDocument/2006/relationships/image" Target="../media/image102.svg"/><Relationship Id="rId36" Type="http://schemas.openxmlformats.org/officeDocument/2006/relationships/image" Target="../media/image36.svg"/><Relationship Id="rId199" Type="http://schemas.openxmlformats.org/officeDocument/2006/relationships/image" Target="../media/image5.png"/><Relationship Id="rId82" Type="http://schemas.openxmlformats.org/officeDocument/2006/relationships/image" Target="../media/image82.svg"/><Relationship Id="rId135" Type="http://schemas.openxmlformats.org/officeDocument/2006/relationships/image" Target="../media/image3.png"/><Relationship Id="rId198" Type="http://schemas.openxmlformats.org/officeDocument/2006/relationships/image" Target="../media/image198.svg"/><Relationship Id="rId134" Type="http://schemas.openxmlformats.org/officeDocument/2006/relationships/image" Target="../media/image134.svg"/></Relationships>
</file>

<file path=xl/drawings/_rels/drawing2.xml.rels><?xml version="1.0" encoding="UTF-8" standalone="yes"?>
<Relationships xmlns="http://schemas.openxmlformats.org/package/2006/relationships"><Relationship Id="rId34" Type="http://schemas.openxmlformats.org/officeDocument/2006/relationships/image" Target="../media/image34.svg"/><Relationship Id="rId1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3.svg"/><Relationship Id="rId1" Type="http://schemas.openxmlformats.org/officeDocument/2006/relationships/image" Target="../media/image7.png"/><Relationship Id="rId160" Type="http://schemas.openxmlformats.org/officeDocument/2006/relationships/image" Target="../media/image160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381000</xdr:colOff>
      <xdr:row>5</xdr:row>
      <xdr:rowOff>47626</xdr:rowOff>
    </xdr:from>
    <xdr:to>
      <xdr:col>18</xdr:col>
      <xdr:colOff>295275</xdr:colOff>
      <xdr:row>7</xdr:row>
      <xdr:rowOff>85726</xdr:rowOff>
    </xdr:to>
    <xdr:grpSp>
      <xdr:nvGrpSpPr>
        <xdr:cNvPr id="8" name="Csoportba foglalás 7"/>
        <xdr:cNvGrpSpPr/>
      </xdr:nvGrpSpPr>
      <xdr:grpSpPr>
        <a:xfrm>
          <a:off x="9801225" y="1190626"/>
          <a:ext cx="1743075" cy="419100"/>
          <a:chOff x="9801225" y="1190626"/>
          <a:chExt cx="1743075" cy="4191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68" name="Button 20" hidden="1">
                <a:extLst>
                  <a:ext uri="{63B3BB69-23CF-44E3-9099-C40C66FF867C}">
                    <a14:compatExt spid="_x0000_s2068"/>
                  </a:ext>
                </a:extLst>
              </xdr:cNvPr>
              <xdr:cNvSpPr/>
            </xdr:nvSpPr>
            <xdr:spPr>
              <a:xfrm>
                <a:off x="9925050" y="1190626"/>
                <a:ext cx="1619250" cy="419100"/>
              </a:xfrm>
              <a:prstGeom prst="rect">
                <a:avLst/>
              </a:prstGeom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hu-HU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Összes lap feloldása</a:t>
                </a:r>
              </a:p>
            </xdr:txBody>
          </xdr:sp>
        </mc:Choice>
        <mc:Fallback/>
      </mc:AlternateContent>
      <xdr:pic>
        <xdr:nvPicPr>
          <xdr:cNvPr id="9" name="Graphic 134" descr="Unlock">
            <a:extLst>
              <a:ext uri="{FF2B5EF4-FFF2-40B4-BE49-F238E27FC236}">
                <a16:creationId xmlns:a16="http://schemas.microsoft.com/office/drawing/2014/main" xmlns="" id="{86A08FC4-841A-4DB9-A715-3295A8097C6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132"/>
              </a:ext>
            </a:extLst>
          </a:blip>
          <a:stretch>
            <a:fillRect/>
          </a:stretch>
        </xdr:blipFill>
        <xdr:spPr>
          <a:xfrm>
            <a:off x="9801225" y="1219201"/>
            <a:ext cx="360000" cy="356289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382898</xdr:colOff>
      <xdr:row>2</xdr:row>
      <xdr:rowOff>76199</xdr:rowOff>
    </xdr:from>
    <xdr:to>
      <xdr:col>18</xdr:col>
      <xdr:colOff>276225</xdr:colOff>
      <xdr:row>4</xdr:row>
      <xdr:rowOff>142874</xdr:rowOff>
    </xdr:to>
    <xdr:grpSp>
      <xdr:nvGrpSpPr>
        <xdr:cNvPr id="7" name="Csoportba foglalás 6"/>
        <xdr:cNvGrpSpPr/>
      </xdr:nvGrpSpPr>
      <xdr:grpSpPr>
        <a:xfrm>
          <a:off x="9803123" y="647699"/>
          <a:ext cx="1722127" cy="447675"/>
          <a:chOff x="9803123" y="647699"/>
          <a:chExt cx="1722127" cy="44767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67" name="Button 19" hidden="1">
                <a:extLst>
                  <a:ext uri="{63B3BB69-23CF-44E3-9099-C40C66FF867C}">
                    <a14:compatExt spid="_x0000_s2067"/>
                  </a:ext>
                </a:extLst>
              </xdr:cNvPr>
              <xdr:cNvSpPr/>
            </xdr:nvSpPr>
            <xdr:spPr>
              <a:xfrm>
                <a:off x="9906000" y="647699"/>
                <a:ext cx="1619250" cy="447675"/>
              </a:xfrm>
              <a:prstGeom prst="rect">
                <a:avLst/>
              </a:prstGeom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hu-HU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Összes lap védelme</a:t>
                </a:r>
              </a:p>
            </xdr:txBody>
          </xdr:sp>
        </mc:Choice>
        <mc:Fallback/>
      </mc:AlternateContent>
      <xdr:pic>
        <xdr:nvPicPr>
          <xdr:cNvPr id="10" name="Graphic 136" descr="Lock">
            <a:extLst>
              <a:ext uri="{FF2B5EF4-FFF2-40B4-BE49-F238E27FC236}">
                <a16:creationId xmlns:a16="http://schemas.microsoft.com/office/drawing/2014/main" xmlns="" id="{1A99F8B2-916D-4136-BF01-BFB5136B73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134"/>
              </a:ext>
            </a:extLst>
          </a:blip>
          <a:stretch>
            <a:fillRect/>
          </a:stretch>
        </xdr:blipFill>
        <xdr:spPr>
          <a:xfrm>
            <a:off x="9803123" y="676276"/>
            <a:ext cx="360000" cy="352653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323853</xdr:colOff>
      <xdr:row>2</xdr:row>
      <xdr:rowOff>76201</xdr:rowOff>
    </xdr:from>
    <xdr:to>
      <xdr:col>15</xdr:col>
      <xdr:colOff>247650</xdr:colOff>
      <xdr:row>4</xdr:row>
      <xdr:rowOff>161925</xdr:rowOff>
    </xdr:to>
    <xdr:grpSp>
      <xdr:nvGrpSpPr>
        <xdr:cNvPr id="6" name="Csoportba foglalás 5"/>
        <xdr:cNvGrpSpPr/>
      </xdr:nvGrpSpPr>
      <xdr:grpSpPr>
        <a:xfrm>
          <a:off x="7915278" y="647701"/>
          <a:ext cx="1752597" cy="466724"/>
          <a:chOff x="7915278" y="647701"/>
          <a:chExt cx="1752597" cy="466724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39100" y="647701"/>
                <a:ext cx="1628775" cy="466724"/>
              </a:xfrm>
              <a:prstGeom prst="rect">
                <a:avLst/>
              </a:prstGeom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hu-HU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Új sablon létrehozása</a:t>
                </a:r>
              </a:p>
            </xdr:txBody>
          </xdr:sp>
        </mc:Choice>
        <mc:Fallback/>
      </mc:AlternateContent>
      <xdr:pic>
        <xdr:nvPicPr>
          <xdr:cNvPr id="11" name="Graphic 38" descr="Paper">
            <a:extLst>
              <a:ext uri="{FF2B5EF4-FFF2-40B4-BE49-F238E27FC236}">
                <a16:creationId xmlns:a16="http://schemas.microsoft.com/office/drawing/2014/main" xmlns="" id="{B5692A05-EA9F-4EB6-92E9-4BEFA0D2A0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36"/>
              </a:ext>
            </a:extLst>
          </a:blip>
          <a:stretch>
            <a:fillRect/>
          </a:stretch>
        </xdr:blipFill>
        <xdr:spPr>
          <a:xfrm>
            <a:off x="7915278" y="704851"/>
            <a:ext cx="360000" cy="356289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352424</xdr:colOff>
      <xdr:row>5</xdr:row>
      <xdr:rowOff>19050</xdr:rowOff>
    </xdr:from>
    <xdr:to>
      <xdr:col>9</xdr:col>
      <xdr:colOff>228600</xdr:colOff>
      <xdr:row>7</xdr:row>
      <xdr:rowOff>95250</xdr:rowOff>
    </xdr:to>
    <xdr:grpSp>
      <xdr:nvGrpSpPr>
        <xdr:cNvPr id="17" name="Csoportba foglalás 16"/>
        <xdr:cNvGrpSpPr/>
      </xdr:nvGrpSpPr>
      <xdr:grpSpPr>
        <a:xfrm>
          <a:off x="4286249" y="1162050"/>
          <a:ext cx="1704976" cy="457200"/>
          <a:chOff x="4286249" y="1162050"/>
          <a:chExt cx="1704976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4381500" y="1162050"/>
                <a:ext cx="1609725" cy="457200"/>
              </a:xfrm>
              <a:prstGeom prst="rect">
                <a:avLst/>
              </a:prstGeom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hu-HU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Visszavonás    </a:t>
                </a:r>
              </a:p>
            </xdr:txBody>
          </xdr:sp>
        </mc:Choice>
        <mc:Fallback/>
      </mc:AlternateContent>
      <xdr:pic>
        <xdr:nvPicPr>
          <xdr:cNvPr id="12" name="Graphic 5" descr="Arrow: U-turn with tail">
            <a:extLst>
              <a:ext uri="{FF2B5EF4-FFF2-40B4-BE49-F238E27FC236}">
                <a16:creationId xmlns:a16="http://schemas.microsoft.com/office/drawing/2014/main" xmlns="" id="{D8C292CE-FDB0-4E10-A935-74AD8BCAD5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198"/>
              </a:ext>
            </a:extLst>
          </a:blip>
          <a:stretch>
            <a:fillRect/>
          </a:stretch>
        </xdr:blipFill>
        <xdr:spPr>
          <a:xfrm>
            <a:off x="4286249" y="1214662"/>
            <a:ext cx="360000" cy="390968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342900</xdr:colOff>
      <xdr:row>8</xdr:row>
      <xdr:rowOff>161925</xdr:rowOff>
    </xdr:from>
    <xdr:to>
      <xdr:col>9</xdr:col>
      <xdr:colOff>219075</xdr:colOff>
      <xdr:row>11</xdr:row>
      <xdr:rowOff>47625</xdr:rowOff>
    </xdr:to>
    <xdr:grpSp>
      <xdr:nvGrpSpPr>
        <xdr:cNvPr id="4" name="Csoportba foglalás 3"/>
        <xdr:cNvGrpSpPr/>
      </xdr:nvGrpSpPr>
      <xdr:grpSpPr>
        <a:xfrm>
          <a:off x="4276725" y="1876425"/>
          <a:ext cx="1704975" cy="457200"/>
          <a:chOff x="4667250" y="1876425"/>
          <a:chExt cx="1704975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65" name="Button 17" hidden="1">
                <a:extLst>
                  <a:ext uri="{63B3BB69-23CF-44E3-9099-C40C66FF867C}">
                    <a14:compatExt spid="_x0000_s2065"/>
                  </a:ext>
                </a:extLst>
              </xdr:cNvPr>
              <xdr:cNvSpPr/>
            </xdr:nvSpPr>
            <xdr:spPr>
              <a:xfrm>
                <a:off x="4781550" y="1876425"/>
                <a:ext cx="1590675" cy="457200"/>
              </a:xfrm>
              <a:prstGeom prst="rect">
                <a:avLst/>
              </a:prstGeom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hu-HU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Függvényszámláló</a:t>
                </a:r>
              </a:p>
            </xdr:txBody>
          </xdr:sp>
        </mc:Choice>
        <mc:Fallback/>
      </mc:AlternateContent>
      <xdr:pic>
        <xdr:nvPicPr>
          <xdr:cNvPr id="13" name="Graphic 84" descr="Calculator">
            <a:extLst>
              <a:ext uri="{FF2B5EF4-FFF2-40B4-BE49-F238E27FC236}">
                <a16:creationId xmlns:a16="http://schemas.microsoft.com/office/drawing/2014/main" xmlns="" id="{0B24179B-12AD-4D0A-B404-2EEC7B6FED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82"/>
              </a:ext>
            </a:extLst>
          </a:blip>
          <a:stretch>
            <a:fillRect/>
          </a:stretch>
        </xdr:blipFill>
        <xdr:spPr>
          <a:xfrm>
            <a:off x="4667250" y="1943101"/>
            <a:ext cx="360000" cy="356289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392415</xdr:colOff>
      <xdr:row>2</xdr:row>
      <xdr:rowOff>66675</xdr:rowOff>
    </xdr:from>
    <xdr:to>
      <xdr:col>9</xdr:col>
      <xdr:colOff>238126</xdr:colOff>
      <xdr:row>4</xdr:row>
      <xdr:rowOff>152400</xdr:rowOff>
    </xdr:to>
    <xdr:grpSp>
      <xdr:nvGrpSpPr>
        <xdr:cNvPr id="16" name="Csoportba foglalás 15"/>
        <xdr:cNvGrpSpPr/>
      </xdr:nvGrpSpPr>
      <xdr:grpSpPr>
        <a:xfrm>
          <a:off x="4326240" y="638175"/>
          <a:ext cx="1674511" cy="466725"/>
          <a:chOff x="4326240" y="638175"/>
          <a:chExt cx="1674511" cy="46672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4371975" y="638175"/>
                <a:ext cx="1628776" cy="466725"/>
              </a:xfrm>
              <a:prstGeom prst="rect">
                <a:avLst/>
              </a:prstGeom>
            </xdr:spPr>
            <xdr:txBody>
              <a:bodyPr vertOverflow="clip" wrap="square" lIns="0" tIns="27432" rIns="27432" bIns="27432" anchor="ctr" upright="1"/>
              <a:lstStyle/>
              <a:p>
                <a:pPr algn="r" rtl="0">
                  <a:defRPr sz="1000"/>
                </a:pPr>
                <a:r>
                  <a:rPr lang="hu-HU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Függvények kiemelése</a:t>
                </a:r>
              </a:p>
            </xdr:txBody>
          </xdr:sp>
        </mc:Choice>
        <mc:Fallback/>
      </mc:AlternateContent>
      <xdr:pic>
        <xdr:nvPicPr>
          <xdr:cNvPr id="14" name="Graphic 104" descr="Pencil">
            <a:extLst>
              <a:ext uri="{FF2B5EF4-FFF2-40B4-BE49-F238E27FC236}">
                <a16:creationId xmlns:a16="http://schemas.microsoft.com/office/drawing/2014/main" xmlns="" id="{881FD39A-9C9B-4ECE-9667-E6A49FF08D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102"/>
              </a:ext>
            </a:extLst>
          </a:blip>
          <a:stretch>
            <a:fillRect/>
          </a:stretch>
        </xdr:blipFill>
        <xdr:spPr>
          <a:xfrm>
            <a:off x="4326240" y="714376"/>
            <a:ext cx="360000" cy="356289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371474</xdr:colOff>
      <xdr:row>8</xdr:row>
      <xdr:rowOff>161925</xdr:rowOff>
    </xdr:from>
    <xdr:to>
      <xdr:col>12</xdr:col>
      <xdr:colOff>285751</xdr:colOff>
      <xdr:row>11</xdr:row>
      <xdr:rowOff>38100</xdr:rowOff>
    </xdr:to>
    <xdr:grpSp>
      <xdr:nvGrpSpPr>
        <xdr:cNvPr id="5" name="Csoportba foglalás 4"/>
        <xdr:cNvGrpSpPr/>
      </xdr:nvGrpSpPr>
      <xdr:grpSpPr>
        <a:xfrm>
          <a:off x="6134099" y="1876425"/>
          <a:ext cx="1743077" cy="447675"/>
          <a:chOff x="6134099" y="657225"/>
          <a:chExt cx="1743077" cy="44767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4" name="Button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6276976" y="657225"/>
                <a:ext cx="1600200" cy="447675"/>
              </a:xfrm>
              <a:prstGeom prst="rect">
                <a:avLst/>
              </a:prstGeom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hu-HU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Kommentek törlése</a:t>
                </a:r>
              </a:p>
            </xdr:txBody>
          </xdr:sp>
        </mc:Choice>
        <mc:Fallback/>
      </mc:AlternateContent>
      <xdr:pic>
        <xdr:nvPicPr>
          <xdr:cNvPr id="15" name="Graphic 2" descr="Eraser">
            <a:extLst>
              <a:ext uri="{FF2B5EF4-FFF2-40B4-BE49-F238E27FC236}">
                <a16:creationId xmlns="" xmlns:a16="http://schemas.microsoft.com/office/drawing/2014/main" id="{00000000-0008-0000-03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134099" y="685800"/>
            <a:ext cx="360000" cy="398400"/>
          </a:xfrm>
          <a:prstGeom prst="rect">
            <a:avLst/>
          </a:prstGeom>
          <a:ln>
            <a:solidFill>
              <a:schemeClr val="bg1"/>
            </a:solidFill>
          </a:ln>
        </xdr:spPr>
      </xdr:pic>
    </xdr:grpSp>
    <xdr:clientData/>
  </xdr:twoCellAnchor>
  <xdr:twoCellAnchor>
    <xdr:from>
      <xdr:col>9</xdr:col>
      <xdr:colOff>342900</xdr:colOff>
      <xdr:row>2</xdr:row>
      <xdr:rowOff>66675</xdr:rowOff>
    </xdr:from>
    <xdr:to>
      <xdr:col>12</xdr:col>
      <xdr:colOff>228600</xdr:colOff>
      <xdr:row>4</xdr:row>
      <xdr:rowOff>123825</xdr:rowOff>
    </xdr:to>
    <xdr:grpSp>
      <xdr:nvGrpSpPr>
        <xdr:cNvPr id="18" name="Csoportba foglalás 17"/>
        <xdr:cNvGrpSpPr/>
      </xdr:nvGrpSpPr>
      <xdr:grpSpPr>
        <a:xfrm>
          <a:off x="6105525" y="638175"/>
          <a:ext cx="1714500" cy="438150"/>
          <a:chOff x="6105525" y="638175"/>
          <a:chExt cx="1714500" cy="43815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71" name="Button 23" hidden="1">
                <a:extLst>
                  <a:ext uri="{63B3BB69-23CF-44E3-9099-C40C66FF867C}">
                    <a14:compatExt spid="_x0000_s2071"/>
                  </a:ext>
                </a:extLst>
              </xdr:cNvPr>
              <xdr:cNvSpPr/>
            </xdr:nvSpPr>
            <xdr:spPr>
              <a:xfrm>
                <a:off x="6219825" y="638175"/>
                <a:ext cx="1600200" cy="438150"/>
              </a:xfrm>
              <a:prstGeom prst="rect">
                <a:avLst/>
              </a:prstGeom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hu-HU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Kommentek kiemelése</a:t>
                </a:r>
              </a:p>
            </xdr:txBody>
          </xdr:sp>
        </mc:Choice>
        <mc:Fallback/>
      </mc:AlternateContent>
      <xdr:pic>
        <xdr:nvPicPr>
          <xdr:cNvPr id="32" name="Graphic 104" descr="Pencil">
            <a:extLst>
              <a:ext uri="{FF2B5EF4-FFF2-40B4-BE49-F238E27FC236}">
                <a16:creationId xmlns:a16="http://schemas.microsoft.com/office/drawing/2014/main" xmlns="" id="{881FD39A-9C9B-4ECE-9667-E6A49FF08D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102"/>
              </a:ext>
            </a:extLst>
          </a:blip>
          <a:stretch>
            <a:fillRect/>
          </a:stretch>
        </xdr:blipFill>
        <xdr:spPr>
          <a:xfrm>
            <a:off x="6105525" y="666750"/>
            <a:ext cx="360000" cy="356289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352425</xdr:colOff>
      <xdr:row>5</xdr:row>
      <xdr:rowOff>28575</xdr:rowOff>
    </xdr:from>
    <xdr:to>
      <xdr:col>12</xdr:col>
      <xdr:colOff>247650</xdr:colOff>
      <xdr:row>7</xdr:row>
      <xdr:rowOff>85725</xdr:rowOff>
    </xdr:to>
    <xdr:grpSp>
      <xdr:nvGrpSpPr>
        <xdr:cNvPr id="19" name="Csoportba foglalás 18"/>
        <xdr:cNvGrpSpPr/>
      </xdr:nvGrpSpPr>
      <xdr:grpSpPr>
        <a:xfrm>
          <a:off x="6115050" y="1171575"/>
          <a:ext cx="1724025" cy="438150"/>
          <a:chOff x="6115050" y="1171575"/>
          <a:chExt cx="1724025" cy="43815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72" name="Button 24" hidden="1">
                <a:extLst>
                  <a:ext uri="{63B3BB69-23CF-44E3-9099-C40C66FF867C}">
                    <a14:compatExt spid="_x0000_s2072"/>
                  </a:ext>
                </a:extLst>
              </xdr:cNvPr>
              <xdr:cNvSpPr/>
            </xdr:nvSpPr>
            <xdr:spPr>
              <a:xfrm>
                <a:off x="6238875" y="1171575"/>
                <a:ext cx="1600200" cy="438150"/>
              </a:xfrm>
              <a:prstGeom prst="rect">
                <a:avLst/>
              </a:prstGeom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hu-HU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Visszavonás</a:t>
                </a:r>
              </a:p>
            </xdr:txBody>
          </xdr:sp>
        </mc:Choice>
        <mc:Fallback/>
      </mc:AlternateContent>
      <xdr:pic>
        <xdr:nvPicPr>
          <xdr:cNvPr id="35" name="Graphic 5" descr="Arrow: U-turn with tail">
            <a:extLst>
              <a:ext uri="{FF2B5EF4-FFF2-40B4-BE49-F238E27FC236}">
                <a16:creationId xmlns:a16="http://schemas.microsoft.com/office/drawing/2014/main" xmlns="" id="{D8C292CE-FDB0-4E10-A935-74AD8BCAD5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198"/>
              </a:ext>
            </a:extLst>
          </a:blip>
          <a:stretch>
            <a:fillRect/>
          </a:stretch>
        </xdr:blipFill>
        <xdr:spPr>
          <a:xfrm>
            <a:off x="6115050" y="1209675"/>
            <a:ext cx="360000" cy="390968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600075</xdr:colOff>
      <xdr:row>2</xdr:row>
      <xdr:rowOff>47625</xdr:rowOff>
    </xdr:from>
    <xdr:to>
      <xdr:col>11</xdr:col>
      <xdr:colOff>19050</xdr:colOff>
      <xdr:row>6</xdr:row>
      <xdr:rowOff>57150</xdr:rowOff>
    </xdr:to>
    <xdr:grpSp>
      <xdr:nvGrpSpPr>
        <xdr:cNvPr id="5" name="Csoportba foglalás 4"/>
        <xdr:cNvGrpSpPr/>
      </xdr:nvGrpSpPr>
      <xdr:grpSpPr>
        <a:xfrm>
          <a:off x="5086350" y="742950"/>
          <a:ext cx="1857375" cy="771525"/>
          <a:chOff x="4876799" y="1057275"/>
          <a:chExt cx="1581155" cy="77152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3" name="Button 1" hidden="1">
                <a:extLst>
                  <a:ext uri="{63B3BB69-23CF-44E3-9099-C40C66FF867C}">
                    <a14:compatExt spid="_x0000_s8193"/>
                  </a:ext>
                </a:extLst>
              </xdr:cNvPr>
              <xdr:cNvSpPr/>
            </xdr:nvSpPr>
            <xdr:spPr>
              <a:xfrm>
                <a:off x="5506336" y="1133475"/>
                <a:ext cx="951618" cy="628650"/>
              </a:xfrm>
              <a:prstGeom prst="rect">
                <a:avLst/>
              </a:prstGeom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hu-HU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Táblák összemásolása</a:t>
                </a:r>
              </a:p>
            </xdr:txBody>
          </xdr:sp>
        </mc:Choice>
        <mc:Fallback/>
      </mc:AlternateContent>
      <xdr:pic macro="[0]!Copy_data">
        <xdr:nvPicPr>
          <xdr:cNvPr id="6" name="Graphic 36" descr="Document">
            <a:extLst>
              <a:ext uri="{FF2B5EF4-FFF2-40B4-BE49-F238E27FC236}">
                <a16:creationId xmlns:a16="http://schemas.microsoft.com/office/drawing/2014/main" xmlns="" id="{235E70FF-A2D3-40E6-B018-97ED7AE0CD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34"/>
              </a:ext>
            </a:extLst>
          </a:blip>
          <a:stretch>
            <a:fillRect/>
          </a:stretch>
        </xdr:blipFill>
        <xdr:spPr>
          <a:xfrm>
            <a:off x="4876799" y="1057275"/>
            <a:ext cx="771525" cy="771525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1</xdr:row>
          <xdr:rowOff>161925</xdr:rowOff>
        </xdr:from>
        <xdr:to>
          <xdr:col>4</xdr:col>
          <xdr:colOff>428625</xdr:colOff>
          <xdr:row>3</xdr:row>
          <xdr:rowOff>85725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</a:rPr>
                <a:t>Get Result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3</xdr:row>
      <xdr:rowOff>9526</xdr:rowOff>
    </xdr:from>
    <xdr:to>
      <xdr:col>9</xdr:col>
      <xdr:colOff>219076</xdr:colOff>
      <xdr:row>5</xdr:row>
      <xdr:rowOff>66676</xdr:rowOff>
    </xdr:to>
    <xdr:grpSp>
      <xdr:nvGrpSpPr>
        <xdr:cNvPr id="4" name="Csoportba foglalás 3"/>
        <xdr:cNvGrpSpPr/>
      </xdr:nvGrpSpPr>
      <xdr:grpSpPr>
        <a:xfrm>
          <a:off x="4162425" y="819151"/>
          <a:ext cx="1543051" cy="438150"/>
          <a:chOff x="4191000" y="819151"/>
          <a:chExt cx="1543051" cy="43815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3" name="Button 3" hidden="1">
                <a:extLst>
                  <a:ext uri="{63B3BB69-23CF-44E3-9099-C40C66FF867C}">
                    <a14:compatExt spid="_x0000_s10243"/>
                  </a:ext>
                </a:extLst>
              </xdr:cNvPr>
              <xdr:cNvSpPr/>
            </xdr:nvSpPr>
            <xdr:spPr>
              <a:xfrm>
                <a:off x="4248150" y="819151"/>
                <a:ext cx="1485901" cy="438150"/>
              </a:xfrm>
              <a:prstGeom prst="rect">
                <a:avLst/>
              </a:prstGeom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hu-HU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Adatok törlése</a:t>
                </a:r>
              </a:p>
            </xdr:txBody>
          </xdr:sp>
        </mc:Choice>
        <mc:Fallback/>
      </mc:AlternateContent>
      <xdr:pic macro="[0]!MessageboxYesNo2">
        <xdr:nvPicPr>
          <xdr:cNvPr id="9" name="Graphic 2" descr="Eraser">
            <a:extLst>
              <a:ext uri="{FF2B5EF4-FFF2-40B4-BE49-F238E27FC236}">
                <a16:creationId xmlns:a16="http://schemas.microsoft.com/office/drawing/2014/main" xmlns="" id="{00000000-0008-0000-03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2"/>
              </a:ext>
            </a:extLst>
          </a:blip>
          <a:stretch>
            <a:fillRect/>
          </a:stretch>
        </xdr:blipFill>
        <xdr:spPr>
          <a:xfrm>
            <a:off x="4191000" y="847725"/>
            <a:ext cx="325301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495300</xdr:colOff>
      <xdr:row>1</xdr:row>
      <xdr:rowOff>28576</xdr:rowOff>
    </xdr:from>
    <xdr:to>
      <xdr:col>9</xdr:col>
      <xdr:colOff>238125</xdr:colOff>
      <xdr:row>2</xdr:row>
      <xdr:rowOff>85726</xdr:rowOff>
    </xdr:to>
    <xdr:grpSp>
      <xdr:nvGrpSpPr>
        <xdr:cNvPr id="2" name="Csoportba foglalás 1"/>
        <xdr:cNvGrpSpPr/>
      </xdr:nvGrpSpPr>
      <xdr:grpSpPr>
        <a:xfrm>
          <a:off x="4152900" y="266701"/>
          <a:ext cx="1571625" cy="438150"/>
          <a:chOff x="4152900" y="266701"/>
          <a:chExt cx="1571625" cy="43815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4" name="Button 4" hidden="1">
                <a:extLst>
                  <a:ext uri="{63B3BB69-23CF-44E3-9099-C40C66FF867C}">
                    <a14:compatExt spid="_x0000_s10244"/>
                  </a:ext>
                </a:extLst>
              </xdr:cNvPr>
              <xdr:cNvSpPr/>
            </xdr:nvSpPr>
            <xdr:spPr>
              <a:xfrm>
                <a:off x="4238625" y="266701"/>
                <a:ext cx="1485900" cy="438150"/>
              </a:xfrm>
              <a:prstGeom prst="rect">
                <a:avLst/>
              </a:prstGeom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hu-HU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TOP 3 revenue</a:t>
                </a:r>
              </a:p>
            </xdr:txBody>
          </xdr:sp>
        </mc:Choice>
        <mc:Fallback/>
      </mc:AlternateContent>
      <xdr:pic>
        <xdr:nvPicPr>
          <xdr:cNvPr id="6" name="Graphic 174" descr="Signal">
            <a:extLst>
              <a:ext uri="{FF2B5EF4-FFF2-40B4-BE49-F238E27FC236}">
                <a16:creationId xmlns:a16="http://schemas.microsoft.com/office/drawing/2014/main" xmlns="" id="{03F08C12-8A61-44EB-A0D7-23EE4C0CA0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160"/>
              </a:ext>
            </a:extLst>
          </a:blip>
          <a:stretch>
            <a:fillRect/>
          </a:stretch>
        </xdr:blipFill>
        <xdr:spPr>
          <a:xfrm flipH="1">
            <a:off x="4152900" y="295275"/>
            <a:ext cx="363750" cy="360000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2" tint="-0.499984740745262"/>
  </sheetPr>
  <dimension ref="A2:F54"/>
  <sheetViews>
    <sheetView showGridLines="0" tabSelected="1" workbookViewId="0">
      <selection activeCell="K17" sqref="K17"/>
    </sheetView>
  </sheetViews>
  <sheetFormatPr defaultRowHeight="15" x14ac:dyDescent="0.25"/>
  <cols>
    <col min="1" max="1" width="13.42578125" customWidth="1"/>
    <col min="4" max="4" width="9" customWidth="1"/>
  </cols>
  <sheetData>
    <row r="2" spans="1:6" ht="30" x14ac:dyDescent="0.25">
      <c r="A2" s="5" t="s">
        <v>0</v>
      </c>
      <c r="B2" s="5" t="s">
        <v>1</v>
      </c>
      <c r="C2" s="5" t="s">
        <v>2</v>
      </c>
      <c r="D2" s="5" t="s">
        <v>3</v>
      </c>
      <c r="E2" s="5" t="s">
        <v>41</v>
      </c>
      <c r="F2" s="5" t="s">
        <v>42</v>
      </c>
    </row>
    <row r="3" spans="1:6" x14ac:dyDescent="0.25">
      <c r="A3" t="s">
        <v>4</v>
      </c>
      <c r="B3" t="s">
        <v>5</v>
      </c>
      <c r="C3" t="s">
        <v>6</v>
      </c>
      <c r="D3" t="s">
        <v>43</v>
      </c>
      <c r="E3" s="9">
        <v>10200</v>
      </c>
      <c r="F3" s="3">
        <v>10404</v>
      </c>
    </row>
    <row r="4" spans="1:6" x14ac:dyDescent="0.25">
      <c r="A4" t="s">
        <v>7</v>
      </c>
      <c r="B4" t="s">
        <v>5</v>
      </c>
      <c r="C4" t="s">
        <v>6</v>
      </c>
      <c r="D4" t="s">
        <v>44</v>
      </c>
      <c r="E4" s="9">
        <v>12240</v>
      </c>
      <c r="F4" s="3">
        <v>12484.800000000001</v>
      </c>
    </row>
    <row r="5" spans="1:6" x14ac:dyDescent="0.25">
      <c r="A5" s="13" t="s">
        <v>8</v>
      </c>
      <c r="B5" t="s">
        <v>5</v>
      </c>
      <c r="C5" t="s">
        <v>6</v>
      </c>
      <c r="D5" t="s">
        <v>44</v>
      </c>
      <c r="E5" s="9">
        <v>12240</v>
      </c>
      <c r="F5" s="3">
        <v>14981.76</v>
      </c>
    </row>
    <row r="6" spans="1:6" x14ac:dyDescent="0.25">
      <c r="A6" t="s">
        <v>9</v>
      </c>
      <c r="B6" t="s">
        <v>5</v>
      </c>
      <c r="C6" t="s">
        <v>6</v>
      </c>
      <c r="D6" t="s">
        <v>44</v>
      </c>
      <c r="E6" s="9">
        <f>F6*1.1</f>
        <v>19775.923199999997</v>
      </c>
      <c r="F6" s="3">
        <v>17978.111999999997</v>
      </c>
    </row>
    <row r="7" spans="1:6" x14ac:dyDescent="0.25">
      <c r="A7" t="s">
        <v>10</v>
      </c>
      <c r="B7" t="s">
        <v>11</v>
      </c>
      <c r="C7" t="s">
        <v>6</v>
      </c>
      <c r="D7" t="s">
        <v>43</v>
      </c>
      <c r="E7" s="9">
        <v>10300</v>
      </c>
      <c r="F7" s="3">
        <v>10506</v>
      </c>
    </row>
    <row r="8" spans="1:6" x14ac:dyDescent="0.25">
      <c r="A8" t="s">
        <v>12</v>
      </c>
      <c r="B8" t="s">
        <v>11</v>
      </c>
      <c r="C8" t="s">
        <v>6</v>
      </c>
      <c r="D8" t="s">
        <v>44</v>
      </c>
      <c r="E8" s="9">
        <v>12360</v>
      </c>
      <c r="F8" s="3">
        <v>12607.2</v>
      </c>
    </row>
    <row r="9" spans="1:6" x14ac:dyDescent="0.25">
      <c r="A9" t="s">
        <v>13</v>
      </c>
      <c r="B9" s="13" t="s">
        <v>11</v>
      </c>
      <c r="C9" t="s">
        <v>6</v>
      </c>
      <c r="D9" t="s">
        <v>44</v>
      </c>
      <c r="E9" s="9">
        <v>14832</v>
      </c>
      <c r="F9" s="3">
        <v>15128.64</v>
      </c>
    </row>
    <row r="10" spans="1:6" x14ac:dyDescent="0.25">
      <c r="A10" t="s">
        <v>14</v>
      </c>
      <c r="B10" t="s">
        <v>11</v>
      </c>
      <c r="C10" t="s">
        <v>6</v>
      </c>
      <c r="D10" t="s">
        <v>44</v>
      </c>
      <c r="E10" s="9">
        <v>17798.399999999998</v>
      </c>
      <c r="F10" s="3">
        <v>18154.367999999999</v>
      </c>
    </row>
    <row r="11" spans="1:6" x14ac:dyDescent="0.25">
      <c r="A11" t="s">
        <v>15</v>
      </c>
      <c r="B11" t="s">
        <v>16</v>
      </c>
      <c r="C11" t="s">
        <v>17</v>
      </c>
      <c r="D11" t="s">
        <v>43</v>
      </c>
      <c r="E11" s="9">
        <v>10400</v>
      </c>
      <c r="F11" s="3">
        <v>10608</v>
      </c>
    </row>
    <row r="12" spans="1:6" x14ac:dyDescent="0.25">
      <c r="A12" t="s">
        <v>18</v>
      </c>
      <c r="B12" t="s">
        <v>16</v>
      </c>
      <c r="C12" t="s">
        <v>17</v>
      </c>
      <c r="D12" t="s">
        <v>44</v>
      </c>
      <c r="E12" s="9">
        <f>F12</f>
        <v>12729.6</v>
      </c>
      <c r="F12" s="3">
        <v>12729.6</v>
      </c>
    </row>
    <row r="13" spans="1:6" x14ac:dyDescent="0.25">
      <c r="A13" t="s">
        <v>19</v>
      </c>
      <c r="B13" t="s">
        <v>16</v>
      </c>
      <c r="C13" t="s">
        <v>17</v>
      </c>
      <c r="D13" t="s">
        <v>44</v>
      </c>
      <c r="E13" s="9">
        <v>14976</v>
      </c>
      <c r="F13" s="3">
        <v>12729.6</v>
      </c>
    </row>
    <row r="14" spans="1:6" x14ac:dyDescent="0.25">
      <c r="A14" t="s">
        <v>20</v>
      </c>
      <c r="B14" t="s">
        <v>21</v>
      </c>
      <c r="C14" t="s">
        <v>17</v>
      </c>
      <c r="D14" t="s">
        <v>44</v>
      </c>
      <c r="E14" s="9">
        <v>20000</v>
      </c>
      <c r="F14" s="14">
        <v>20400</v>
      </c>
    </row>
    <row r="15" spans="1:6" x14ac:dyDescent="0.25">
      <c r="A15" t="s">
        <v>22</v>
      </c>
      <c r="B15" t="s">
        <v>21</v>
      </c>
      <c r="C15" t="s">
        <v>17</v>
      </c>
      <c r="D15" t="s">
        <v>44</v>
      </c>
      <c r="E15" s="9">
        <v>24000</v>
      </c>
      <c r="F15" s="3">
        <v>24480</v>
      </c>
    </row>
    <row r="16" spans="1:6" x14ac:dyDescent="0.25">
      <c r="A16" t="s">
        <v>23</v>
      </c>
      <c r="B16" t="s">
        <v>21</v>
      </c>
      <c r="C16" t="s">
        <v>17</v>
      </c>
      <c r="D16" t="s">
        <v>44</v>
      </c>
      <c r="E16" s="9">
        <v>28800</v>
      </c>
      <c r="F16" s="3">
        <v>29376</v>
      </c>
    </row>
    <row r="17" spans="1:6" x14ac:dyDescent="0.25">
      <c r="A17" t="s">
        <v>24</v>
      </c>
      <c r="B17" t="s">
        <v>21</v>
      </c>
      <c r="C17" t="s">
        <v>17</v>
      </c>
      <c r="D17" t="s">
        <v>44</v>
      </c>
      <c r="E17" s="9">
        <v>34560</v>
      </c>
      <c r="F17" s="3">
        <v>35251.199999999997</v>
      </c>
    </row>
    <row r="18" spans="1:6" x14ac:dyDescent="0.25">
      <c r="A18" t="s">
        <v>25</v>
      </c>
      <c r="B18" t="s">
        <v>26</v>
      </c>
      <c r="C18" t="s">
        <v>17</v>
      </c>
      <c r="D18" t="s">
        <v>44</v>
      </c>
      <c r="E18" s="9">
        <v>41472</v>
      </c>
      <c r="F18" s="3">
        <v>42301.440000000002</v>
      </c>
    </row>
    <row r="19" spans="1:6" x14ac:dyDescent="0.25">
      <c r="A19" t="s">
        <v>27</v>
      </c>
      <c r="B19" t="s">
        <v>28</v>
      </c>
      <c r="C19" t="s">
        <v>29</v>
      </c>
      <c r="D19" t="s">
        <v>44</v>
      </c>
      <c r="E19" s="9">
        <v>49766.400000000001</v>
      </c>
      <c r="F19" s="3">
        <v>50761.728000000003</v>
      </c>
    </row>
    <row r="20" spans="1:6" x14ac:dyDescent="0.25">
      <c r="A20" t="s">
        <v>30</v>
      </c>
      <c r="B20" t="s">
        <v>28</v>
      </c>
      <c r="C20" t="s">
        <v>29</v>
      </c>
      <c r="D20" t="s">
        <v>43</v>
      </c>
      <c r="E20" s="9">
        <v>10500</v>
      </c>
      <c r="F20" s="3">
        <v>10710</v>
      </c>
    </row>
    <row r="21" spans="1:6" x14ac:dyDescent="0.25">
      <c r="A21" s="13" t="s">
        <v>31</v>
      </c>
      <c r="B21" t="s">
        <v>28</v>
      </c>
      <c r="C21" t="s">
        <v>29</v>
      </c>
      <c r="D21" t="s">
        <v>44</v>
      </c>
      <c r="E21" s="9">
        <v>23731.107840000001</v>
      </c>
      <c r="F21" s="3">
        <v>21573.734399999998</v>
      </c>
    </row>
    <row r="22" spans="1:6" x14ac:dyDescent="0.25">
      <c r="A22" t="s">
        <v>32</v>
      </c>
      <c r="B22" t="s">
        <v>28</v>
      </c>
      <c r="C22" t="s">
        <v>29</v>
      </c>
      <c r="D22" t="s">
        <v>44</v>
      </c>
      <c r="E22" s="9">
        <v>25380.863999999998</v>
      </c>
      <c r="F22" s="3">
        <v>25888.48128</v>
      </c>
    </row>
    <row r="23" spans="1:6" x14ac:dyDescent="0.25">
      <c r="A23" t="s">
        <v>33</v>
      </c>
      <c r="B23" t="s">
        <v>34</v>
      </c>
      <c r="C23" t="s">
        <v>29</v>
      </c>
      <c r="D23" t="s">
        <v>44</v>
      </c>
      <c r="E23" s="9">
        <v>30457.036799999994</v>
      </c>
      <c r="F23" s="14">
        <v>31066.177535999996</v>
      </c>
    </row>
    <row r="24" spans="1:6" x14ac:dyDescent="0.25">
      <c r="A24" t="s">
        <v>35</v>
      </c>
      <c r="B24" t="s">
        <v>34</v>
      </c>
      <c r="C24" t="s">
        <v>29</v>
      </c>
      <c r="D24" t="s">
        <v>43</v>
      </c>
      <c r="E24" s="9">
        <v>10200</v>
      </c>
      <c r="F24" s="3">
        <v>10404</v>
      </c>
    </row>
    <row r="25" spans="1:6" x14ac:dyDescent="0.25">
      <c r="A25" t="s">
        <v>36</v>
      </c>
      <c r="B25" t="s">
        <v>34</v>
      </c>
      <c r="C25" t="s">
        <v>29</v>
      </c>
      <c r="D25" t="s">
        <v>44</v>
      </c>
      <c r="E25" s="9">
        <v>12240</v>
      </c>
      <c r="F25" s="3">
        <v>12484.800000000001</v>
      </c>
    </row>
    <row r="26" spans="1:6" x14ac:dyDescent="0.25">
      <c r="A26" t="s">
        <v>37</v>
      </c>
      <c r="B26" t="s">
        <v>34</v>
      </c>
      <c r="C26" t="s">
        <v>29</v>
      </c>
      <c r="D26" t="s">
        <v>44</v>
      </c>
      <c r="E26" s="9">
        <v>14688</v>
      </c>
      <c r="F26" s="3">
        <v>14981.76</v>
      </c>
    </row>
    <row r="27" spans="1:6" x14ac:dyDescent="0.25">
      <c r="A27" t="s">
        <v>38</v>
      </c>
      <c r="B27" t="s">
        <v>39</v>
      </c>
      <c r="C27" t="s">
        <v>29</v>
      </c>
      <c r="D27" t="s">
        <v>43</v>
      </c>
      <c r="E27" s="9">
        <v>10100</v>
      </c>
      <c r="F27" s="3">
        <v>10302</v>
      </c>
    </row>
    <row r="28" spans="1:6" x14ac:dyDescent="0.25">
      <c r="A28" t="s">
        <v>40</v>
      </c>
      <c r="B28" t="s">
        <v>39</v>
      </c>
      <c r="C28" t="s">
        <v>29</v>
      </c>
      <c r="D28" t="s">
        <v>43</v>
      </c>
      <c r="E28" s="9">
        <v>10300</v>
      </c>
      <c r="F28" s="3">
        <v>10506</v>
      </c>
    </row>
    <row r="29" spans="1:6" x14ac:dyDescent="0.25">
      <c r="A29" t="s">
        <v>4</v>
      </c>
      <c r="B29" t="s">
        <v>5</v>
      </c>
      <c r="C29" t="s">
        <v>6</v>
      </c>
      <c r="D29" t="s">
        <v>44</v>
      </c>
      <c r="E29" s="9">
        <v>10200</v>
      </c>
      <c r="F29" s="3">
        <v>10404</v>
      </c>
    </row>
    <row r="30" spans="1:6" x14ac:dyDescent="0.25">
      <c r="A30" t="s">
        <v>7</v>
      </c>
      <c r="B30" t="s">
        <v>5</v>
      </c>
      <c r="C30" t="s">
        <v>6</v>
      </c>
      <c r="D30" t="s">
        <v>43</v>
      </c>
      <c r="E30" s="9">
        <v>12240</v>
      </c>
      <c r="F30" s="3">
        <v>12484.800000000001</v>
      </c>
    </row>
    <row r="31" spans="1:6" x14ac:dyDescent="0.25">
      <c r="A31" t="s">
        <v>8</v>
      </c>
      <c r="B31" t="s">
        <v>5</v>
      </c>
      <c r="C31" t="s">
        <v>6</v>
      </c>
      <c r="D31" t="s">
        <v>44</v>
      </c>
      <c r="E31" s="9">
        <f>F31*1.1</f>
        <v>16479.936000000002</v>
      </c>
      <c r="F31" s="3">
        <v>14981.76</v>
      </c>
    </row>
    <row r="32" spans="1:6" x14ac:dyDescent="0.25">
      <c r="A32" t="s">
        <v>9</v>
      </c>
      <c r="B32" t="s">
        <v>5</v>
      </c>
      <c r="C32" t="s">
        <v>6</v>
      </c>
      <c r="D32" t="s">
        <v>44</v>
      </c>
      <c r="E32" s="9">
        <f>F32*1.1</f>
        <v>19775.923199999997</v>
      </c>
      <c r="F32" s="3">
        <v>17978.111999999997</v>
      </c>
    </row>
    <row r="33" spans="1:6" x14ac:dyDescent="0.25">
      <c r="A33" t="s">
        <v>10</v>
      </c>
      <c r="B33" t="s">
        <v>11</v>
      </c>
      <c r="C33" t="s">
        <v>6</v>
      </c>
      <c r="D33" t="s">
        <v>44</v>
      </c>
      <c r="E33" s="9">
        <v>10300</v>
      </c>
      <c r="F33" s="3">
        <v>10506</v>
      </c>
    </row>
    <row r="34" spans="1:6" x14ac:dyDescent="0.25">
      <c r="A34" t="s">
        <v>12</v>
      </c>
      <c r="B34" t="s">
        <v>11</v>
      </c>
      <c r="C34" t="s">
        <v>6</v>
      </c>
      <c r="D34" t="s">
        <v>44</v>
      </c>
      <c r="E34" s="9">
        <f>F34*1.1</f>
        <v>13867.920000000002</v>
      </c>
      <c r="F34" s="3">
        <v>12607.2</v>
      </c>
    </row>
    <row r="35" spans="1:6" x14ac:dyDescent="0.25">
      <c r="A35" t="s">
        <v>13</v>
      </c>
      <c r="B35" t="s">
        <v>11</v>
      </c>
      <c r="C35" t="s">
        <v>6</v>
      </c>
      <c r="D35" t="s">
        <v>44</v>
      </c>
      <c r="E35" s="9">
        <v>14832</v>
      </c>
      <c r="F35" s="3">
        <v>15128.64</v>
      </c>
    </row>
    <row r="36" spans="1:6" x14ac:dyDescent="0.25">
      <c r="A36" t="s">
        <v>14</v>
      </c>
      <c r="B36" t="s">
        <v>11</v>
      </c>
      <c r="C36" t="s">
        <v>6</v>
      </c>
      <c r="D36" t="s">
        <v>43</v>
      </c>
      <c r="E36" s="9">
        <f>F36*1.1</f>
        <v>19969.804800000002</v>
      </c>
      <c r="F36" s="3">
        <v>18154.367999999999</v>
      </c>
    </row>
    <row r="37" spans="1:6" x14ac:dyDescent="0.25">
      <c r="A37" t="s">
        <v>15</v>
      </c>
      <c r="B37" t="s">
        <v>16</v>
      </c>
      <c r="C37" t="s">
        <v>17</v>
      </c>
      <c r="D37" t="s">
        <v>44</v>
      </c>
      <c r="E37" s="9">
        <v>10400</v>
      </c>
      <c r="F37" s="3">
        <v>10608</v>
      </c>
    </row>
    <row r="38" spans="1:6" x14ac:dyDescent="0.25">
      <c r="A38" t="s">
        <v>18</v>
      </c>
      <c r="B38" t="s">
        <v>16</v>
      </c>
      <c r="C38" t="s">
        <v>17</v>
      </c>
      <c r="D38" t="s">
        <v>44</v>
      </c>
      <c r="E38" s="9">
        <f t="shared" ref="E38:E42" si="0">F38*1.1</f>
        <v>14002.560000000001</v>
      </c>
      <c r="F38" s="3">
        <v>12729.6</v>
      </c>
    </row>
    <row r="39" spans="1:6" x14ac:dyDescent="0.25">
      <c r="A39" t="s">
        <v>19</v>
      </c>
      <c r="B39" t="s">
        <v>16</v>
      </c>
      <c r="C39" t="s">
        <v>17</v>
      </c>
      <c r="D39" t="s">
        <v>44</v>
      </c>
      <c r="E39" s="9">
        <f t="shared" si="0"/>
        <v>16803.072</v>
      </c>
      <c r="F39" s="3">
        <v>15275.52</v>
      </c>
    </row>
    <row r="40" spans="1:6" x14ac:dyDescent="0.25">
      <c r="A40" t="s">
        <v>20</v>
      </c>
      <c r="B40" t="s">
        <v>21</v>
      </c>
      <c r="C40" t="s">
        <v>17</v>
      </c>
      <c r="D40" t="s">
        <v>43</v>
      </c>
      <c r="E40" s="9">
        <f t="shared" si="0"/>
        <v>22440</v>
      </c>
      <c r="F40" s="3">
        <v>20400</v>
      </c>
    </row>
    <row r="41" spans="1:6" x14ac:dyDescent="0.25">
      <c r="A41" t="s">
        <v>22</v>
      </c>
      <c r="B41" t="s">
        <v>21</v>
      </c>
      <c r="C41" t="s">
        <v>17</v>
      </c>
      <c r="D41" t="s">
        <v>44</v>
      </c>
      <c r="E41" s="9">
        <f t="shared" si="0"/>
        <v>26928.000000000004</v>
      </c>
      <c r="F41" s="3">
        <v>24480</v>
      </c>
    </row>
    <row r="42" spans="1:6" x14ac:dyDescent="0.25">
      <c r="A42" t="s">
        <v>23</v>
      </c>
      <c r="B42" t="s">
        <v>21</v>
      </c>
      <c r="C42" t="s">
        <v>17</v>
      </c>
      <c r="D42" t="s">
        <v>44</v>
      </c>
      <c r="E42" s="9">
        <f t="shared" si="0"/>
        <v>32313.600000000002</v>
      </c>
      <c r="F42" s="3">
        <v>29376</v>
      </c>
    </row>
    <row r="43" spans="1:6" x14ac:dyDescent="0.25">
      <c r="A43" t="s">
        <v>24</v>
      </c>
      <c r="B43" t="s">
        <v>21</v>
      </c>
      <c r="C43" t="s">
        <v>17</v>
      </c>
      <c r="D43" t="s">
        <v>44</v>
      </c>
      <c r="E43" s="9">
        <v>34560</v>
      </c>
      <c r="F43" s="3">
        <v>35251.199999999997</v>
      </c>
    </row>
    <row r="44" spans="1:6" x14ac:dyDescent="0.25">
      <c r="A44" t="s">
        <v>25</v>
      </c>
      <c r="B44" t="s">
        <v>26</v>
      </c>
      <c r="C44" t="s">
        <v>17</v>
      </c>
      <c r="D44" t="s">
        <v>44</v>
      </c>
      <c r="E44" s="9">
        <v>41472</v>
      </c>
      <c r="F44" s="3">
        <v>42301.440000000002</v>
      </c>
    </row>
    <row r="45" spans="1:6" x14ac:dyDescent="0.25">
      <c r="A45" t="s">
        <v>27</v>
      </c>
      <c r="B45" t="s">
        <v>28</v>
      </c>
      <c r="C45" t="s">
        <v>29</v>
      </c>
      <c r="D45" t="s">
        <v>44</v>
      </c>
      <c r="E45" s="9">
        <v>49766.400000000001</v>
      </c>
      <c r="F45" s="3">
        <v>50761.728000000003</v>
      </c>
    </row>
    <row r="46" spans="1:6" x14ac:dyDescent="0.25">
      <c r="A46" t="s">
        <v>30</v>
      </c>
      <c r="B46" t="s">
        <v>28</v>
      </c>
      <c r="C46" t="s">
        <v>29</v>
      </c>
      <c r="D46" t="s">
        <v>44</v>
      </c>
      <c r="E46" s="9">
        <v>10500</v>
      </c>
      <c r="F46" s="3">
        <v>10710</v>
      </c>
    </row>
    <row r="47" spans="1:6" x14ac:dyDescent="0.25">
      <c r="A47" t="s">
        <v>31</v>
      </c>
      <c r="B47" t="s">
        <v>28</v>
      </c>
      <c r="C47" t="s">
        <v>29</v>
      </c>
      <c r="D47" t="s">
        <v>44</v>
      </c>
      <c r="E47" s="9">
        <f>F47*1.1</f>
        <v>23731.107840000001</v>
      </c>
      <c r="F47" s="3">
        <v>21573.734399999998</v>
      </c>
    </row>
    <row r="48" spans="1:6" x14ac:dyDescent="0.25">
      <c r="A48" t="s">
        <v>32</v>
      </c>
      <c r="B48" t="s">
        <v>28</v>
      </c>
      <c r="C48" t="s">
        <v>29</v>
      </c>
      <c r="D48" t="s">
        <v>44</v>
      </c>
      <c r="E48" s="9">
        <v>25380.863999999998</v>
      </c>
      <c r="F48" s="3">
        <v>25888.48128</v>
      </c>
    </row>
    <row r="49" spans="1:6" x14ac:dyDescent="0.25">
      <c r="A49" t="s">
        <v>33</v>
      </c>
      <c r="B49" t="s">
        <v>34</v>
      </c>
      <c r="C49" t="s">
        <v>29</v>
      </c>
      <c r="D49" t="s">
        <v>44</v>
      </c>
      <c r="E49" s="9">
        <v>30457.036799999994</v>
      </c>
      <c r="F49" s="3">
        <v>31066.177535999996</v>
      </c>
    </row>
    <row r="50" spans="1:6" x14ac:dyDescent="0.25">
      <c r="A50" t="s">
        <v>35</v>
      </c>
      <c r="B50" t="s">
        <v>34</v>
      </c>
      <c r="C50" t="s">
        <v>29</v>
      </c>
      <c r="D50" t="s">
        <v>44</v>
      </c>
      <c r="E50" s="9">
        <v>10200</v>
      </c>
      <c r="F50" s="3">
        <v>10404</v>
      </c>
    </row>
    <row r="51" spans="1:6" x14ac:dyDescent="0.25">
      <c r="A51" t="s">
        <v>36</v>
      </c>
      <c r="B51" t="s">
        <v>34</v>
      </c>
      <c r="C51" t="s">
        <v>29</v>
      </c>
      <c r="D51" t="s">
        <v>44</v>
      </c>
      <c r="E51" s="9">
        <v>12240</v>
      </c>
      <c r="F51" s="3">
        <v>12484.800000000001</v>
      </c>
    </row>
    <row r="52" spans="1:6" x14ac:dyDescent="0.25">
      <c r="A52" t="s">
        <v>37</v>
      </c>
      <c r="B52" t="s">
        <v>34</v>
      </c>
      <c r="C52" t="s">
        <v>29</v>
      </c>
      <c r="D52" t="s">
        <v>44</v>
      </c>
      <c r="E52" s="9">
        <v>14688</v>
      </c>
      <c r="F52" s="3">
        <v>14981.76</v>
      </c>
    </row>
    <row r="53" spans="1:6" x14ac:dyDescent="0.25">
      <c r="A53" t="s">
        <v>38</v>
      </c>
      <c r="B53" t="s">
        <v>39</v>
      </c>
      <c r="C53" t="s">
        <v>29</v>
      </c>
      <c r="D53" t="s">
        <v>44</v>
      </c>
      <c r="E53" s="9">
        <v>10100</v>
      </c>
      <c r="F53" s="3">
        <v>10302</v>
      </c>
    </row>
    <row r="54" spans="1:6" x14ac:dyDescent="0.25">
      <c r="A54" t="s">
        <v>40</v>
      </c>
      <c r="B54" t="s">
        <v>39</v>
      </c>
      <c r="C54" t="s">
        <v>29</v>
      </c>
      <c r="D54" t="s">
        <v>44</v>
      </c>
      <c r="E54" s="9">
        <v>10300</v>
      </c>
      <c r="F54" s="3">
        <v>10506</v>
      </c>
    </row>
  </sheetData>
  <sheetProtection formatCells="0" formatColumns="0" formatRows="0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autoFill="0" autoPict="0" macro="[0]!HightlightFormulas">
                <anchor moveWithCells="1" sizeWithCells="1">
                  <from>
                    <xdr:col>6</xdr:col>
                    <xdr:colOff>438150</xdr:colOff>
                    <xdr:row>2</xdr:row>
                    <xdr:rowOff>66675</xdr:rowOff>
                  </from>
                  <to>
                    <xdr:col>9</xdr:col>
                    <xdr:colOff>238125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autoFill="0" autoPict="0" macro="[0]!kiemeles_vissza">
                <anchor moveWithCells="1" sizeWithCells="1">
                  <from>
                    <xdr:col>6</xdr:col>
                    <xdr:colOff>447675</xdr:colOff>
                    <xdr:row>5</xdr:row>
                    <xdr:rowOff>19050</xdr:rowOff>
                  </from>
                  <to>
                    <xdr:col>9</xdr:col>
                    <xdr:colOff>228600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autoFill="0" autoPict="0" macro="[0]!sablonoldal">
                <anchor moveWithCells="1" sizeWithCells="1">
                  <from>
                    <xdr:col>12</xdr:col>
                    <xdr:colOff>447675</xdr:colOff>
                    <xdr:row>2</xdr:row>
                    <xdr:rowOff>76200</xdr:rowOff>
                  </from>
                  <to>
                    <xdr:col>15</xdr:col>
                    <xdr:colOff>247650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autoFill="0" autoPict="0" macro="[0]!Delete_all_comments">
                <anchor moveWithCells="1" sizeWithCells="1">
                  <from>
                    <xdr:col>9</xdr:col>
                    <xdr:colOff>514350</xdr:colOff>
                    <xdr:row>8</xdr:row>
                    <xdr:rowOff>161925</xdr:rowOff>
                  </from>
                  <to>
                    <xdr:col>12</xdr:col>
                    <xdr:colOff>285750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8" name="Button 17">
              <controlPr defaultSize="0" autoFill="0" autoPict="0" macro="[0]!Number_of_Formulas">
                <anchor moveWithCells="1" sizeWithCells="1">
                  <from>
                    <xdr:col>6</xdr:col>
                    <xdr:colOff>457200</xdr:colOff>
                    <xdr:row>8</xdr:row>
                    <xdr:rowOff>161925</xdr:rowOff>
                  </from>
                  <to>
                    <xdr:col>9</xdr:col>
                    <xdr:colOff>219075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9" name="Button 19">
              <controlPr defaultSize="0" autoFill="0" autoPict="0" macro="[0]!ProtectWs">
                <anchor moveWithCells="1" sizeWithCells="1">
                  <from>
                    <xdr:col>15</xdr:col>
                    <xdr:colOff>485775</xdr:colOff>
                    <xdr:row>2</xdr:row>
                    <xdr:rowOff>76200</xdr:rowOff>
                  </from>
                  <to>
                    <xdr:col>18</xdr:col>
                    <xdr:colOff>276225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10" name="Button 20">
              <controlPr defaultSize="0" autoFill="0" autoPict="0" macro="[0]!UnProtectWs">
                <anchor moveWithCells="1" sizeWithCells="1">
                  <from>
                    <xdr:col>15</xdr:col>
                    <xdr:colOff>504825</xdr:colOff>
                    <xdr:row>5</xdr:row>
                    <xdr:rowOff>47625</xdr:rowOff>
                  </from>
                  <to>
                    <xdr:col>18</xdr:col>
                    <xdr:colOff>295275</xdr:colOff>
                    <xdr:row>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11" name="Button 23">
              <controlPr defaultSize="0" autoFill="0" autoPict="0" macro="[0]!HighlightCellsWithComments">
                <anchor moveWithCells="1" sizeWithCells="1">
                  <from>
                    <xdr:col>9</xdr:col>
                    <xdr:colOff>457200</xdr:colOff>
                    <xdr:row>2</xdr:row>
                    <xdr:rowOff>66675</xdr:rowOff>
                  </from>
                  <to>
                    <xdr:col>12</xdr:col>
                    <xdr:colOff>228600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2" name="Button 24">
              <controlPr defaultSize="0" autoFill="0" autoPict="0" macro="[0]!ResetCellsWithComments">
                <anchor moveWithCells="1" sizeWithCells="1">
                  <from>
                    <xdr:col>9</xdr:col>
                    <xdr:colOff>476250</xdr:colOff>
                    <xdr:row>5</xdr:row>
                    <xdr:rowOff>28575</xdr:rowOff>
                  </from>
                  <to>
                    <xdr:col>12</xdr:col>
                    <xdr:colOff>247650</xdr:colOff>
                    <xdr:row>7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2" tint="-0.499984740745262"/>
  </sheetPr>
  <dimension ref="A1:K196"/>
  <sheetViews>
    <sheetView showGridLines="0" workbookViewId="0">
      <selection activeCell="I13" sqref="I13"/>
    </sheetView>
  </sheetViews>
  <sheetFormatPr defaultRowHeight="15" x14ac:dyDescent="0.25"/>
  <cols>
    <col min="1" max="1" width="11.28515625" customWidth="1"/>
    <col min="2" max="2" width="10.28515625" customWidth="1"/>
  </cols>
  <sheetData>
    <row r="1" spans="1:11" ht="24.75" customHeight="1" x14ac:dyDescent="0.3">
      <c r="A1" s="4"/>
      <c r="B1" s="4"/>
      <c r="C1" s="4"/>
      <c r="D1" s="4"/>
      <c r="E1" s="4"/>
      <c r="F1" s="4"/>
      <c r="I1" s="12" t="s">
        <v>45</v>
      </c>
      <c r="J1" s="12"/>
      <c r="K1" s="12"/>
    </row>
    <row r="2" spans="1:11" ht="30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41</v>
      </c>
      <c r="F2" s="1" t="s">
        <v>42</v>
      </c>
      <c r="I2" s="12"/>
      <c r="J2" s="12"/>
      <c r="K2" s="12"/>
    </row>
    <row r="3" spans="1:11" x14ac:dyDescent="0.25">
      <c r="A3" t="s">
        <v>4</v>
      </c>
      <c r="B3" t="s">
        <v>5</v>
      </c>
      <c r="C3" t="s">
        <v>6</v>
      </c>
      <c r="D3" t="s">
        <v>43</v>
      </c>
      <c r="E3" s="2">
        <v>10200</v>
      </c>
      <c r="F3" s="3">
        <v>10404</v>
      </c>
    </row>
    <row r="4" spans="1:11" x14ac:dyDescent="0.25">
      <c r="A4" t="s">
        <v>7</v>
      </c>
      <c r="B4" t="s">
        <v>5</v>
      </c>
      <c r="C4" t="s">
        <v>6</v>
      </c>
      <c r="D4" t="s">
        <v>44</v>
      </c>
      <c r="E4" s="2">
        <v>12240</v>
      </c>
      <c r="F4" s="3">
        <v>12484.800000000001</v>
      </c>
    </row>
    <row r="5" spans="1:11" x14ac:dyDescent="0.25">
      <c r="A5" t="s">
        <v>8</v>
      </c>
      <c r="B5" t="s">
        <v>5</v>
      </c>
      <c r="C5" t="s">
        <v>6</v>
      </c>
      <c r="D5" t="s">
        <v>44</v>
      </c>
      <c r="E5" s="2">
        <v>14688</v>
      </c>
      <c r="F5" s="3">
        <v>14981.76</v>
      </c>
    </row>
    <row r="6" spans="1:11" x14ac:dyDescent="0.25">
      <c r="A6" t="s">
        <v>9</v>
      </c>
      <c r="B6" t="s">
        <v>5</v>
      </c>
      <c r="C6" t="s">
        <v>6</v>
      </c>
      <c r="D6" t="s">
        <v>44</v>
      </c>
      <c r="E6" s="2">
        <f>F6*1.1</f>
        <v>19775.923199999997</v>
      </c>
      <c r="F6" s="3">
        <v>17978.111999999997</v>
      </c>
    </row>
    <row r="7" spans="1:11" x14ac:dyDescent="0.25">
      <c r="A7" t="s">
        <v>10</v>
      </c>
      <c r="B7" t="s">
        <v>11</v>
      </c>
      <c r="C7" t="s">
        <v>6</v>
      </c>
      <c r="D7" t="s">
        <v>43</v>
      </c>
      <c r="E7" s="2">
        <v>10300</v>
      </c>
      <c r="F7" s="3">
        <v>10506</v>
      </c>
    </row>
    <row r="8" spans="1:11" x14ac:dyDescent="0.25">
      <c r="A8" s="7"/>
      <c r="B8" s="7"/>
      <c r="C8" s="7"/>
      <c r="D8" s="7"/>
      <c r="E8" s="8"/>
      <c r="F8" s="3"/>
    </row>
    <row r="9" spans="1:11" x14ac:dyDescent="0.25">
      <c r="A9" s="7"/>
      <c r="B9" s="7"/>
      <c r="C9" s="7"/>
      <c r="D9" s="7"/>
      <c r="E9" s="8"/>
      <c r="F9" s="3"/>
    </row>
    <row r="10" spans="1:11" x14ac:dyDescent="0.25">
      <c r="A10" s="7"/>
      <c r="B10" s="7"/>
      <c r="C10" s="7"/>
      <c r="D10" s="7"/>
      <c r="E10" s="8"/>
      <c r="F10" s="3"/>
    </row>
    <row r="11" spans="1:11" x14ac:dyDescent="0.25">
      <c r="A11" s="7"/>
      <c r="B11" s="7"/>
      <c r="C11" s="7"/>
      <c r="D11" s="7"/>
      <c r="E11" s="8"/>
      <c r="F11" s="3"/>
    </row>
    <row r="12" spans="1:11" x14ac:dyDescent="0.25">
      <c r="A12" s="7"/>
      <c r="B12" s="7"/>
      <c r="C12" s="7"/>
      <c r="D12" s="7"/>
      <c r="E12" s="8"/>
      <c r="F12" s="3"/>
    </row>
    <row r="13" spans="1:11" x14ac:dyDescent="0.25">
      <c r="A13" s="7"/>
      <c r="B13" s="7"/>
      <c r="C13" s="7"/>
      <c r="D13" s="7"/>
      <c r="E13" s="8"/>
      <c r="F13" s="3"/>
    </row>
    <row r="14" spans="1:11" x14ac:dyDescent="0.25">
      <c r="A14" s="7"/>
      <c r="B14" s="7"/>
      <c r="C14" s="7"/>
      <c r="D14" s="7"/>
      <c r="E14" s="8"/>
      <c r="F14" s="3"/>
    </row>
    <row r="15" spans="1:11" x14ac:dyDescent="0.25">
      <c r="A15" s="7"/>
      <c r="B15" s="7"/>
      <c r="C15" s="7"/>
      <c r="D15" s="7"/>
      <c r="E15" s="8"/>
      <c r="F15" s="3"/>
    </row>
    <row r="16" spans="1:11" x14ac:dyDescent="0.25">
      <c r="A16" s="7"/>
      <c r="B16" s="7"/>
      <c r="C16" s="7"/>
      <c r="D16" s="7"/>
      <c r="E16" s="8"/>
      <c r="F16" s="3"/>
    </row>
    <row r="17" spans="1:6" x14ac:dyDescent="0.25">
      <c r="A17" s="7"/>
      <c r="B17" s="7"/>
      <c r="C17" s="7"/>
      <c r="D17" s="7"/>
      <c r="E17" s="8"/>
      <c r="F17" s="3"/>
    </row>
    <row r="18" spans="1:6" x14ac:dyDescent="0.25">
      <c r="A18" s="7"/>
      <c r="B18" s="7"/>
      <c r="C18" s="7"/>
      <c r="D18" s="7"/>
      <c r="E18" s="8"/>
      <c r="F18" s="3"/>
    </row>
    <row r="19" spans="1:6" x14ac:dyDescent="0.25">
      <c r="A19" s="7"/>
      <c r="B19" s="7"/>
      <c r="C19" s="7"/>
      <c r="D19" s="7"/>
      <c r="E19" s="8"/>
      <c r="F19" s="3"/>
    </row>
    <row r="20" spans="1:6" x14ac:dyDescent="0.25">
      <c r="A20" s="7"/>
      <c r="B20" s="7"/>
      <c r="C20" s="7"/>
      <c r="D20" s="7"/>
      <c r="E20" s="8"/>
      <c r="F20" s="3"/>
    </row>
    <row r="21" spans="1:6" x14ac:dyDescent="0.25">
      <c r="A21" s="7"/>
      <c r="B21" s="7"/>
      <c r="C21" s="7"/>
      <c r="D21" s="7"/>
      <c r="E21" s="8"/>
      <c r="F21" s="3"/>
    </row>
    <row r="22" spans="1:6" x14ac:dyDescent="0.25">
      <c r="A22" s="7"/>
      <c r="B22" s="7"/>
      <c r="C22" s="7"/>
      <c r="D22" s="7"/>
      <c r="E22" s="8"/>
      <c r="F22" s="3"/>
    </row>
    <row r="23" spans="1:6" x14ac:dyDescent="0.25">
      <c r="A23" s="7"/>
      <c r="B23" s="7"/>
      <c r="C23" s="7"/>
      <c r="D23" s="7"/>
      <c r="E23" s="8"/>
      <c r="F23" s="3"/>
    </row>
    <row r="24" spans="1:6" x14ac:dyDescent="0.25">
      <c r="A24" s="7"/>
      <c r="B24" s="7"/>
      <c r="C24" s="7"/>
      <c r="D24" s="7"/>
      <c r="E24" s="8"/>
      <c r="F24" s="3"/>
    </row>
    <row r="25" spans="1:6" x14ac:dyDescent="0.25">
      <c r="A25" s="7"/>
      <c r="B25" s="7"/>
      <c r="C25" s="7"/>
      <c r="D25" s="7"/>
      <c r="E25" s="8"/>
      <c r="F25" s="3"/>
    </row>
    <row r="26" spans="1:6" x14ac:dyDescent="0.25">
      <c r="A26" s="7"/>
      <c r="B26" s="7"/>
      <c r="C26" s="7"/>
      <c r="D26" s="7"/>
      <c r="E26" s="8"/>
      <c r="F26" s="3"/>
    </row>
    <row r="27" spans="1:6" x14ac:dyDescent="0.25">
      <c r="A27" s="7"/>
      <c r="B27" s="7"/>
      <c r="C27" s="7"/>
      <c r="D27" s="7"/>
      <c r="E27" s="8"/>
      <c r="F27" s="3"/>
    </row>
    <row r="28" spans="1:6" x14ac:dyDescent="0.25">
      <c r="A28" s="7"/>
      <c r="B28" s="7"/>
      <c r="C28" s="7"/>
      <c r="D28" s="7"/>
      <c r="E28" s="8"/>
      <c r="F28" s="3"/>
    </row>
    <row r="29" spans="1:6" x14ac:dyDescent="0.25">
      <c r="E29" s="2"/>
      <c r="F29" s="3"/>
    </row>
    <row r="30" spans="1:6" x14ac:dyDescent="0.25">
      <c r="E30" s="2"/>
      <c r="F30" s="3"/>
    </row>
    <row r="31" spans="1:6" x14ac:dyDescent="0.25">
      <c r="E31" s="2"/>
      <c r="F31" s="3"/>
    </row>
    <row r="32" spans="1:6" x14ac:dyDescent="0.25">
      <c r="E32" s="2"/>
      <c r="F32" s="3"/>
    </row>
    <row r="33" spans="5:6" x14ac:dyDescent="0.25">
      <c r="E33" s="2"/>
      <c r="F33" s="3"/>
    </row>
    <row r="34" spans="5:6" x14ac:dyDescent="0.25">
      <c r="E34" s="2"/>
      <c r="F34" s="3"/>
    </row>
    <row r="35" spans="5:6" x14ac:dyDescent="0.25">
      <c r="E35" s="2"/>
      <c r="F35" s="3"/>
    </row>
    <row r="36" spans="5:6" x14ac:dyDescent="0.25">
      <c r="E36" s="2"/>
      <c r="F36" s="3"/>
    </row>
    <row r="37" spans="5:6" x14ac:dyDescent="0.25">
      <c r="E37" s="2"/>
      <c r="F37" s="3"/>
    </row>
    <row r="38" spans="5:6" x14ac:dyDescent="0.25">
      <c r="E38" s="2"/>
      <c r="F38" s="3"/>
    </row>
    <row r="39" spans="5:6" x14ac:dyDescent="0.25">
      <c r="E39" s="2"/>
      <c r="F39" s="3"/>
    </row>
    <row r="40" spans="5:6" x14ac:dyDescent="0.25">
      <c r="E40" s="2"/>
      <c r="F40" s="3"/>
    </row>
    <row r="41" spans="5:6" x14ac:dyDescent="0.25">
      <c r="E41" s="2"/>
      <c r="F41" s="3"/>
    </row>
    <row r="42" spans="5:6" x14ac:dyDescent="0.25">
      <c r="E42" s="2"/>
      <c r="F42" s="3"/>
    </row>
    <row r="43" spans="5:6" x14ac:dyDescent="0.25">
      <c r="E43" s="2"/>
      <c r="F43" s="3"/>
    </row>
    <row r="44" spans="5:6" x14ac:dyDescent="0.25">
      <c r="E44" s="2"/>
      <c r="F44" s="3"/>
    </row>
    <row r="45" spans="5:6" x14ac:dyDescent="0.25">
      <c r="E45" s="2"/>
      <c r="F45" s="3"/>
    </row>
    <row r="46" spans="5:6" x14ac:dyDescent="0.25">
      <c r="E46" s="2"/>
      <c r="F46" s="3"/>
    </row>
    <row r="47" spans="5:6" x14ac:dyDescent="0.25">
      <c r="E47" s="2"/>
      <c r="F47" s="3"/>
    </row>
    <row r="48" spans="5:6" x14ac:dyDescent="0.25">
      <c r="E48" s="2"/>
      <c r="F48" s="3"/>
    </row>
    <row r="49" spans="5:6" x14ac:dyDescent="0.25">
      <c r="E49" s="2"/>
      <c r="F49" s="3"/>
    </row>
    <row r="50" spans="5:6" x14ac:dyDescent="0.25">
      <c r="E50" s="2"/>
      <c r="F50" s="3"/>
    </row>
    <row r="51" spans="5:6" x14ac:dyDescent="0.25">
      <c r="E51" s="2"/>
      <c r="F51" s="3"/>
    </row>
    <row r="52" spans="5:6" x14ac:dyDescent="0.25">
      <c r="E52" s="2"/>
      <c r="F52" s="3"/>
    </row>
    <row r="53" spans="5:6" x14ac:dyDescent="0.25">
      <c r="E53" s="2"/>
      <c r="F53" s="3"/>
    </row>
    <row r="54" spans="5:6" x14ac:dyDescent="0.25">
      <c r="E54" s="2"/>
      <c r="F54" s="3"/>
    </row>
    <row r="55" spans="5:6" x14ac:dyDescent="0.25">
      <c r="E55" s="2"/>
      <c r="F55" s="3"/>
    </row>
    <row r="56" spans="5:6" x14ac:dyDescent="0.25">
      <c r="E56" s="2"/>
      <c r="F56" s="3"/>
    </row>
    <row r="57" spans="5:6" x14ac:dyDescent="0.25">
      <c r="E57" s="2"/>
      <c r="F57" s="3"/>
    </row>
    <row r="58" spans="5:6" x14ac:dyDescent="0.25">
      <c r="E58" s="2"/>
      <c r="F58" s="3"/>
    </row>
    <row r="59" spans="5:6" x14ac:dyDescent="0.25">
      <c r="E59" s="2"/>
      <c r="F59" s="3"/>
    </row>
    <row r="60" spans="5:6" x14ac:dyDescent="0.25">
      <c r="E60" s="2"/>
      <c r="F60" s="3"/>
    </row>
    <row r="61" spans="5:6" x14ac:dyDescent="0.25">
      <c r="E61" s="2"/>
      <c r="F61" s="3"/>
    </row>
    <row r="62" spans="5:6" x14ac:dyDescent="0.25">
      <c r="E62" s="2"/>
      <c r="F62" s="3"/>
    </row>
    <row r="63" spans="5:6" x14ac:dyDescent="0.25">
      <c r="E63" s="2"/>
      <c r="F63" s="3"/>
    </row>
    <row r="64" spans="5:6" x14ac:dyDescent="0.25">
      <c r="E64" s="2"/>
      <c r="F64" s="3"/>
    </row>
    <row r="65" spans="5:6" x14ac:dyDescent="0.25">
      <c r="E65" s="2"/>
      <c r="F65" s="3"/>
    </row>
    <row r="66" spans="5:6" x14ac:dyDescent="0.25">
      <c r="E66" s="2"/>
      <c r="F66" s="3"/>
    </row>
    <row r="67" spans="5:6" x14ac:dyDescent="0.25">
      <c r="E67" s="2"/>
      <c r="F67" s="3"/>
    </row>
    <row r="68" spans="5:6" x14ac:dyDescent="0.25">
      <c r="E68" s="2"/>
      <c r="F68" s="3"/>
    </row>
    <row r="69" spans="5:6" x14ac:dyDescent="0.25">
      <c r="E69" s="2"/>
      <c r="F69" s="3"/>
    </row>
    <row r="70" spans="5:6" x14ac:dyDescent="0.25">
      <c r="E70" s="2"/>
      <c r="F70" s="3"/>
    </row>
    <row r="71" spans="5:6" x14ac:dyDescent="0.25">
      <c r="E71" s="2"/>
      <c r="F71" s="3"/>
    </row>
    <row r="72" spans="5:6" x14ac:dyDescent="0.25">
      <c r="E72" s="2"/>
      <c r="F72" s="3"/>
    </row>
    <row r="73" spans="5:6" x14ac:dyDescent="0.25">
      <c r="E73" s="2"/>
      <c r="F73" s="3"/>
    </row>
    <row r="74" spans="5:6" x14ac:dyDescent="0.25">
      <c r="E74" s="2"/>
      <c r="F74" s="3"/>
    </row>
    <row r="75" spans="5:6" x14ac:dyDescent="0.25">
      <c r="E75" s="2"/>
      <c r="F75" s="3"/>
    </row>
    <row r="76" spans="5:6" x14ac:dyDescent="0.25">
      <c r="E76" s="2"/>
      <c r="F76" s="3"/>
    </row>
    <row r="77" spans="5:6" x14ac:dyDescent="0.25">
      <c r="E77" s="2"/>
      <c r="F77" s="3"/>
    </row>
    <row r="78" spans="5:6" x14ac:dyDescent="0.25">
      <c r="E78" s="2"/>
      <c r="F78" s="3"/>
    </row>
    <row r="79" spans="5:6" x14ac:dyDescent="0.25">
      <c r="E79" s="2"/>
      <c r="F79" s="3"/>
    </row>
    <row r="80" spans="5:6" x14ac:dyDescent="0.25">
      <c r="E80" s="2"/>
      <c r="F80" s="3"/>
    </row>
    <row r="81" spans="5:6" x14ac:dyDescent="0.25">
      <c r="E81" s="2"/>
      <c r="F81" s="3"/>
    </row>
    <row r="82" spans="5:6" x14ac:dyDescent="0.25">
      <c r="E82" s="2"/>
      <c r="F82" s="3"/>
    </row>
    <row r="83" spans="5:6" x14ac:dyDescent="0.25">
      <c r="E83" s="2"/>
      <c r="F83" s="3"/>
    </row>
    <row r="84" spans="5:6" x14ac:dyDescent="0.25">
      <c r="E84" s="2"/>
      <c r="F84" s="3"/>
    </row>
    <row r="85" spans="5:6" x14ac:dyDescent="0.25">
      <c r="E85" s="2"/>
      <c r="F85" s="3"/>
    </row>
    <row r="86" spans="5:6" x14ac:dyDescent="0.25">
      <c r="E86" s="2"/>
      <c r="F86" s="3"/>
    </row>
    <row r="87" spans="5:6" x14ac:dyDescent="0.25">
      <c r="E87" s="2"/>
      <c r="F87" s="3"/>
    </row>
    <row r="88" spans="5:6" x14ac:dyDescent="0.25">
      <c r="E88" s="2"/>
      <c r="F88" s="3"/>
    </row>
    <row r="89" spans="5:6" x14ac:dyDescent="0.25">
      <c r="E89" s="2"/>
      <c r="F89" s="3"/>
    </row>
    <row r="90" spans="5:6" x14ac:dyDescent="0.25">
      <c r="E90" s="2"/>
      <c r="F90" s="3"/>
    </row>
    <row r="91" spans="5:6" x14ac:dyDescent="0.25">
      <c r="E91" s="2"/>
      <c r="F91" s="3"/>
    </row>
    <row r="92" spans="5:6" x14ac:dyDescent="0.25">
      <c r="E92" s="2"/>
      <c r="F92" s="3"/>
    </row>
    <row r="93" spans="5:6" x14ac:dyDescent="0.25">
      <c r="E93" s="2"/>
      <c r="F93" s="3"/>
    </row>
    <row r="94" spans="5:6" x14ac:dyDescent="0.25">
      <c r="E94" s="2"/>
      <c r="F94" s="3"/>
    </row>
    <row r="95" spans="5:6" x14ac:dyDescent="0.25">
      <c r="E95" s="2"/>
      <c r="F95" s="3"/>
    </row>
    <row r="96" spans="5:6" x14ac:dyDescent="0.25">
      <c r="E96" s="2"/>
      <c r="F96" s="3"/>
    </row>
    <row r="97" spans="5:6" x14ac:dyDescent="0.25">
      <c r="E97" s="2"/>
      <c r="F97" s="3"/>
    </row>
    <row r="98" spans="5:6" x14ac:dyDescent="0.25">
      <c r="E98" s="2"/>
      <c r="F98" s="3"/>
    </row>
    <row r="99" spans="5:6" x14ac:dyDescent="0.25">
      <c r="E99" s="2"/>
      <c r="F99" s="3"/>
    </row>
    <row r="100" spans="5:6" x14ac:dyDescent="0.25">
      <c r="E100" s="2"/>
      <c r="F100" s="3"/>
    </row>
    <row r="101" spans="5:6" x14ac:dyDescent="0.25">
      <c r="E101" s="2"/>
      <c r="F101" s="3"/>
    </row>
    <row r="102" spans="5:6" x14ac:dyDescent="0.25">
      <c r="E102" s="2"/>
      <c r="F102" s="3"/>
    </row>
    <row r="103" spans="5:6" x14ac:dyDescent="0.25">
      <c r="E103" s="2"/>
      <c r="F103" s="3"/>
    </row>
    <row r="104" spans="5:6" x14ac:dyDescent="0.25">
      <c r="E104" s="2"/>
      <c r="F104" s="3"/>
    </row>
    <row r="105" spans="5:6" x14ac:dyDescent="0.25">
      <c r="E105" s="2"/>
      <c r="F105" s="3"/>
    </row>
    <row r="106" spans="5:6" x14ac:dyDescent="0.25">
      <c r="E106" s="2"/>
      <c r="F106" s="3"/>
    </row>
    <row r="107" spans="5:6" x14ac:dyDescent="0.25">
      <c r="E107" s="2"/>
      <c r="F107" s="3"/>
    </row>
    <row r="108" spans="5:6" x14ac:dyDescent="0.25">
      <c r="E108" s="2"/>
      <c r="F108" s="3"/>
    </row>
    <row r="109" spans="5:6" x14ac:dyDescent="0.25">
      <c r="E109" s="2"/>
      <c r="F109" s="3"/>
    </row>
    <row r="110" spans="5:6" x14ac:dyDescent="0.25">
      <c r="E110" s="2"/>
      <c r="F110" s="3"/>
    </row>
    <row r="111" spans="5:6" x14ac:dyDescent="0.25">
      <c r="E111" s="2"/>
      <c r="F111" s="3"/>
    </row>
    <row r="112" spans="5:6" x14ac:dyDescent="0.25">
      <c r="E112" s="2"/>
      <c r="F112" s="3"/>
    </row>
    <row r="113" spans="5:6" x14ac:dyDescent="0.25">
      <c r="E113" s="2"/>
      <c r="F113" s="3"/>
    </row>
    <row r="114" spans="5:6" x14ac:dyDescent="0.25">
      <c r="E114" s="2"/>
      <c r="F114" s="3"/>
    </row>
    <row r="115" spans="5:6" x14ac:dyDescent="0.25">
      <c r="E115" s="2"/>
      <c r="F115" s="3"/>
    </row>
    <row r="116" spans="5:6" x14ac:dyDescent="0.25">
      <c r="E116" s="2"/>
      <c r="F116" s="3"/>
    </row>
    <row r="117" spans="5:6" x14ac:dyDescent="0.25">
      <c r="E117" s="2"/>
      <c r="F117" s="3"/>
    </row>
    <row r="118" spans="5:6" x14ac:dyDescent="0.25">
      <c r="E118" s="2"/>
      <c r="F118" s="3"/>
    </row>
    <row r="119" spans="5:6" x14ac:dyDescent="0.25">
      <c r="E119" s="2"/>
      <c r="F119" s="3"/>
    </row>
    <row r="120" spans="5:6" x14ac:dyDescent="0.25">
      <c r="E120" s="2"/>
      <c r="F120" s="3"/>
    </row>
    <row r="121" spans="5:6" x14ac:dyDescent="0.25">
      <c r="E121" s="2"/>
      <c r="F121" s="3"/>
    </row>
    <row r="122" spans="5:6" x14ac:dyDescent="0.25">
      <c r="E122" s="2"/>
      <c r="F122" s="3"/>
    </row>
    <row r="123" spans="5:6" x14ac:dyDescent="0.25">
      <c r="E123" s="2"/>
      <c r="F123" s="3"/>
    </row>
    <row r="124" spans="5:6" x14ac:dyDescent="0.25">
      <c r="E124" s="2"/>
      <c r="F124" s="3"/>
    </row>
    <row r="125" spans="5:6" x14ac:dyDescent="0.25">
      <c r="E125" s="2"/>
      <c r="F125" s="3"/>
    </row>
    <row r="126" spans="5:6" x14ac:dyDescent="0.25">
      <c r="E126" s="2"/>
      <c r="F126" s="3"/>
    </row>
    <row r="127" spans="5:6" x14ac:dyDescent="0.25">
      <c r="E127" s="2"/>
      <c r="F127" s="3"/>
    </row>
    <row r="128" spans="5:6" x14ac:dyDescent="0.25">
      <c r="E128" s="2"/>
      <c r="F128" s="3"/>
    </row>
    <row r="129" spans="5:6" x14ac:dyDescent="0.25">
      <c r="E129" s="2"/>
      <c r="F129" s="3"/>
    </row>
    <row r="130" spans="5:6" x14ac:dyDescent="0.25">
      <c r="E130" s="2"/>
      <c r="F130" s="3"/>
    </row>
    <row r="131" spans="5:6" x14ac:dyDescent="0.25">
      <c r="E131" s="2"/>
      <c r="F131" s="3"/>
    </row>
    <row r="132" spans="5:6" x14ac:dyDescent="0.25">
      <c r="E132" s="2"/>
      <c r="F132" s="3"/>
    </row>
    <row r="133" spans="5:6" x14ac:dyDescent="0.25">
      <c r="E133" s="2"/>
      <c r="F133" s="3"/>
    </row>
    <row r="134" spans="5:6" x14ac:dyDescent="0.25">
      <c r="E134" s="2"/>
      <c r="F134" s="3"/>
    </row>
    <row r="135" spans="5:6" x14ac:dyDescent="0.25">
      <c r="E135" s="2"/>
      <c r="F135" s="3"/>
    </row>
    <row r="136" spans="5:6" x14ac:dyDescent="0.25">
      <c r="E136" s="2"/>
      <c r="F136" s="3"/>
    </row>
    <row r="137" spans="5:6" x14ac:dyDescent="0.25">
      <c r="E137" s="2"/>
      <c r="F137" s="3"/>
    </row>
    <row r="138" spans="5:6" x14ac:dyDescent="0.25">
      <c r="E138" s="2"/>
      <c r="F138" s="3"/>
    </row>
    <row r="139" spans="5:6" x14ac:dyDescent="0.25">
      <c r="E139" s="2"/>
      <c r="F139" s="3"/>
    </row>
    <row r="140" spans="5:6" x14ac:dyDescent="0.25">
      <c r="E140" s="2"/>
      <c r="F140" s="3"/>
    </row>
    <row r="141" spans="5:6" x14ac:dyDescent="0.25">
      <c r="E141" s="2"/>
      <c r="F141" s="3"/>
    </row>
    <row r="142" spans="5:6" x14ac:dyDescent="0.25">
      <c r="E142" s="2"/>
      <c r="F142" s="3"/>
    </row>
    <row r="143" spans="5:6" x14ac:dyDescent="0.25">
      <c r="E143" s="2"/>
      <c r="F143" s="3"/>
    </row>
    <row r="144" spans="5:6" x14ac:dyDescent="0.25">
      <c r="E144" s="2"/>
      <c r="F144" s="3"/>
    </row>
    <row r="145" spans="5:6" x14ac:dyDescent="0.25">
      <c r="E145" s="2"/>
      <c r="F145" s="3"/>
    </row>
    <row r="146" spans="5:6" x14ac:dyDescent="0.25">
      <c r="E146" s="2"/>
      <c r="F146" s="3"/>
    </row>
    <row r="147" spans="5:6" x14ac:dyDescent="0.25">
      <c r="E147" s="2"/>
      <c r="F147" s="3"/>
    </row>
    <row r="148" spans="5:6" x14ac:dyDescent="0.25">
      <c r="E148" s="2"/>
      <c r="F148" s="3"/>
    </row>
    <row r="149" spans="5:6" x14ac:dyDescent="0.25">
      <c r="E149" s="2"/>
      <c r="F149" s="3"/>
    </row>
    <row r="150" spans="5:6" x14ac:dyDescent="0.25">
      <c r="E150" s="2"/>
      <c r="F150" s="3"/>
    </row>
    <row r="151" spans="5:6" x14ac:dyDescent="0.25">
      <c r="E151" s="2"/>
      <c r="F151" s="3"/>
    </row>
    <row r="152" spans="5:6" x14ac:dyDescent="0.25">
      <c r="E152" s="2"/>
      <c r="F152" s="3"/>
    </row>
    <row r="153" spans="5:6" x14ac:dyDescent="0.25">
      <c r="E153" s="2"/>
      <c r="F153" s="3"/>
    </row>
    <row r="154" spans="5:6" x14ac:dyDescent="0.25">
      <c r="E154" s="2"/>
      <c r="F154" s="3"/>
    </row>
    <row r="155" spans="5:6" x14ac:dyDescent="0.25">
      <c r="E155" s="2"/>
      <c r="F155" s="3"/>
    </row>
    <row r="156" spans="5:6" x14ac:dyDescent="0.25">
      <c r="E156" s="2"/>
      <c r="F156" s="3"/>
    </row>
    <row r="157" spans="5:6" x14ac:dyDescent="0.25">
      <c r="E157" s="2"/>
      <c r="F157" s="3"/>
    </row>
    <row r="158" spans="5:6" x14ac:dyDescent="0.25">
      <c r="E158" s="2"/>
      <c r="F158" s="3"/>
    </row>
    <row r="159" spans="5:6" x14ac:dyDescent="0.25">
      <c r="E159" s="2"/>
      <c r="F159" s="3"/>
    </row>
    <row r="160" spans="5:6" x14ac:dyDescent="0.25">
      <c r="E160" s="2"/>
      <c r="F160" s="3"/>
    </row>
    <row r="161" spans="5:6" x14ac:dyDescent="0.25">
      <c r="E161" s="2"/>
      <c r="F161" s="3"/>
    </row>
    <row r="162" spans="5:6" x14ac:dyDescent="0.25">
      <c r="E162" s="2"/>
      <c r="F162" s="3"/>
    </row>
    <row r="163" spans="5:6" x14ac:dyDescent="0.25">
      <c r="E163" s="2"/>
      <c r="F163" s="3"/>
    </row>
    <row r="164" spans="5:6" x14ac:dyDescent="0.25">
      <c r="E164" s="2"/>
      <c r="F164" s="3"/>
    </row>
    <row r="165" spans="5:6" x14ac:dyDescent="0.25">
      <c r="E165" s="2"/>
      <c r="F165" s="3"/>
    </row>
    <row r="166" spans="5:6" x14ac:dyDescent="0.25">
      <c r="E166" s="2"/>
      <c r="F166" s="3"/>
    </row>
    <row r="167" spans="5:6" x14ac:dyDescent="0.25">
      <c r="E167" s="2"/>
      <c r="F167" s="3"/>
    </row>
    <row r="168" spans="5:6" x14ac:dyDescent="0.25">
      <c r="E168" s="2"/>
      <c r="F168" s="3"/>
    </row>
    <row r="169" spans="5:6" x14ac:dyDescent="0.25">
      <c r="E169" s="2"/>
      <c r="F169" s="3"/>
    </row>
    <row r="170" spans="5:6" x14ac:dyDescent="0.25">
      <c r="E170" s="2"/>
      <c r="F170" s="3"/>
    </row>
    <row r="171" spans="5:6" x14ac:dyDescent="0.25">
      <c r="E171" s="2"/>
      <c r="F171" s="3"/>
    </row>
    <row r="172" spans="5:6" x14ac:dyDescent="0.25">
      <c r="E172" s="2"/>
      <c r="F172" s="3"/>
    </row>
    <row r="173" spans="5:6" x14ac:dyDescent="0.25">
      <c r="E173" s="2"/>
      <c r="F173" s="3"/>
    </row>
    <row r="174" spans="5:6" x14ac:dyDescent="0.25">
      <c r="E174" s="2"/>
      <c r="F174" s="3"/>
    </row>
    <row r="175" spans="5:6" x14ac:dyDescent="0.25">
      <c r="E175" s="2"/>
      <c r="F175" s="3"/>
    </row>
    <row r="176" spans="5:6" x14ac:dyDescent="0.25">
      <c r="E176" s="2"/>
      <c r="F176" s="3"/>
    </row>
    <row r="177" spans="5:6" x14ac:dyDescent="0.25">
      <c r="E177" s="2"/>
      <c r="F177" s="3"/>
    </row>
    <row r="178" spans="5:6" x14ac:dyDescent="0.25">
      <c r="E178" s="2"/>
      <c r="F178" s="3"/>
    </row>
    <row r="179" spans="5:6" x14ac:dyDescent="0.25">
      <c r="E179" s="2"/>
      <c r="F179" s="3"/>
    </row>
    <row r="180" spans="5:6" x14ac:dyDescent="0.25">
      <c r="E180" s="2"/>
      <c r="F180" s="3"/>
    </row>
    <row r="181" spans="5:6" x14ac:dyDescent="0.25">
      <c r="E181" s="2"/>
      <c r="F181" s="3"/>
    </row>
    <row r="182" spans="5:6" x14ac:dyDescent="0.25">
      <c r="E182" s="2"/>
      <c r="F182" s="3"/>
    </row>
    <row r="183" spans="5:6" x14ac:dyDescent="0.25">
      <c r="E183" s="2"/>
      <c r="F183" s="3"/>
    </row>
    <row r="184" spans="5:6" x14ac:dyDescent="0.25">
      <c r="E184" s="2"/>
      <c r="F184" s="3"/>
    </row>
    <row r="185" spans="5:6" x14ac:dyDescent="0.25">
      <c r="E185" s="2"/>
      <c r="F185" s="3"/>
    </row>
    <row r="186" spans="5:6" x14ac:dyDescent="0.25">
      <c r="E186" s="2"/>
      <c r="F186" s="3"/>
    </row>
    <row r="187" spans="5:6" x14ac:dyDescent="0.25">
      <c r="E187" s="2"/>
      <c r="F187" s="3"/>
    </row>
    <row r="188" spans="5:6" x14ac:dyDescent="0.25">
      <c r="E188" s="2"/>
      <c r="F188" s="3"/>
    </row>
    <row r="189" spans="5:6" x14ac:dyDescent="0.25">
      <c r="E189" s="2"/>
      <c r="F189" s="3"/>
    </row>
    <row r="190" spans="5:6" x14ac:dyDescent="0.25">
      <c r="E190" s="2"/>
      <c r="F190" s="3"/>
    </row>
    <row r="191" spans="5:6" x14ac:dyDescent="0.25">
      <c r="E191" s="2"/>
      <c r="F191" s="3"/>
    </row>
    <row r="192" spans="5:6" x14ac:dyDescent="0.25">
      <c r="E192" s="2"/>
      <c r="F192" s="3"/>
    </row>
    <row r="193" spans="5:6" x14ac:dyDescent="0.25">
      <c r="E193" s="2"/>
      <c r="F193" s="3"/>
    </row>
    <row r="194" spans="5:6" x14ac:dyDescent="0.25">
      <c r="E194" s="2"/>
      <c r="F194" s="3"/>
    </row>
    <row r="195" spans="5:6" x14ac:dyDescent="0.25">
      <c r="E195" s="2"/>
      <c r="F195" s="3"/>
    </row>
    <row r="196" spans="5:6" x14ac:dyDescent="0.25">
      <c r="E196" s="2"/>
      <c r="F196" s="3"/>
    </row>
  </sheetData>
  <sheetProtection formatCells="0" formatColumns="0" formatRows="0"/>
  <mergeCells count="1">
    <mergeCell ref="I1:K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autoFill="0" autoPict="0" macro="[0]!Copy_data">
                <anchor moveWithCells="1" sizeWithCells="1">
                  <from>
                    <xdr:col>9</xdr:col>
                    <xdr:colOff>123825</xdr:colOff>
                    <xdr:row>2</xdr:row>
                    <xdr:rowOff>123825</xdr:rowOff>
                  </from>
                  <to>
                    <xdr:col>11</xdr:col>
                    <xdr:colOff>19050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2" tint="-0.499984740745262"/>
  </sheetPr>
  <dimension ref="A1:F16"/>
  <sheetViews>
    <sheetView showGridLines="0" workbookViewId="0">
      <selection activeCell="E20" sqref="E20"/>
    </sheetView>
  </sheetViews>
  <sheetFormatPr defaultRowHeight="15" x14ac:dyDescent="0.25"/>
  <cols>
    <col min="1" max="1" width="9.85546875" customWidth="1"/>
  </cols>
  <sheetData>
    <row r="1" spans="1:6" ht="24.75" customHeight="1" x14ac:dyDescent="0.3">
      <c r="A1" s="4"/>
      <c r="B1" s="4"/>
      <c r="C1" s="4"/>
      <c r="D1" s="4"/>
      <c r="E1" s="4"/>
      <c r="F1" s="4"/>
    </row>
    <row r="2" spans="1:6" ht="30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41</v>
      </c>
      <c r="F2" s="1" t="s">
        <v>42</v>
      </c>
    </row>
    <row r="3" spans="1:6" x14ac:dyDescent="0.25">
      <c r="A3" s="7" t="s">
        <v>12</v>
      </c>
      <c r="B3" t="s">
        <v>11</v>
      </c>
      <c r="C3" t="s">
        <v>6</v>
      </c>
      <c r="D3" t="s">
        <v>44</v>
      </c>
      <c r="E3" s="2">
        <v>12360</v>
      </c>
      <c r="F3" s="3">
        <v>12607.2</v>
      </c>
    </row>
    <row r="4" spans="1:6" x14ac:dyDescent="0.25">
      <c r="A4" t="s">
        <v>13</v>
      </c>
      <c r="B4" t="s">
        <v>11</v>
      </c>
      <c r="C4" t="s">
        <v>6</v>
      </c>
      <c r="D4" t="s">
        <v>44</v>
      </c>
      <c r="E4" s="2">
        <v>14832</v>
      </c>
      <c r="F4" s="3">
        <v>15128.64</v>
      </c>
    </row>
    <row r="5" spans="1:6" x14ac:dyDescent="0.25">
      <c r="A5" t="s">
        <v>14</v>
      </c>
      <c r="B5" t="s">
        <v>11</v>
      </c>
      <c r="C5" t="s">
        <v>6</v>
      </c>
      <c r="D5" t="s">
        <v>44</v>
      </c>
      <c r="E5" s="2">
        <v>17798.399999999998</v>
      </c>
      <c r="F5" s="3">
        <v>18154.367999999999</v>
      </c>
    </row>
    <row r="6" spans="1:6" x14ac:dyDescent="0.25">
      <c r="A6" t="s">
        <v>15</v>
      </c>
      <c r="B6" t="s">
        <v>16</v>
      </c>
      <c r="C6" t="s">
        <v>17</v>
      </c>
      <c r="D6" t="s">
        <v>43</v>
      </c>
      <c r="E6" s="2">
        <v>10400</v>
      </c>
      <c r="F6" s="3">
        <v>10608</v>
      </c>
    </row>
    <row r="7" spans="1:6" x14ac:dyDescent="0.25">
      <c r="A7" t="s">
        <v>18</v>
      </c>
      <c r="B7" t="s">
        <v>16</v>
      </c>
      <c r="C7" t="s">
        <v>17</v>
      </c>
      <c r="D7" t="s">
        <v>44</v>
      </c>
      <c r="E7" s="2">
        <f>F7</f>
        <v>12729.6</v>
      </c>
      <c r="F7" s="3">
        <v>12729.6</v>
      </c>
    </row>
    <row r="8" spans="1:6" x14ac:dyDescent="0.25">
      <c r="A8" t="s">
        <v>19</v>
      </c>
      <c r="B8" t="s">
        <v>16</v>
      </c>
      <c r="C8" t="s">
        <v>17</v>
      </c>
      <c r="D8" t="s">
        <v>44</v>
      </c>
      <c r="E8" s="2">
        <v>14976</v>
      </c>
      <c r="F8" s="3">
        <v>15275.52</v>
      </c>
    </row>
    <row r="9" spans="1:6" x14ac:dyDescent="0.25">
      <c r="A9" t="s">
        <v>20</v>
      </c>
      <c r="B9" t="s">
        <v>21</v>
      </c>
      <c r="C9" t="s">
        <v>17</v>
      </c>
      <c r="D9" t="s">
        <v>44</v>
      </c>
      <c r="E9" s="2">
        <v>20000</v>
      </c>
      <c r="F9" s="3">
        <v>20400</v>
      </c>
    </row>
    <row r="10" spans="1:6" x14ac:dyDescent="0.25">
      <c r="A10" t="s">
        <v>22</v>
      </c>
      <c r="B10" t="s">
        <v>21</v>
      </c>
      <c r="C10" t="s">
        <v>17</v>
      </c>
      <c r="D10" t="s">
        <v>43</v>
      </c>
      <c r="E10" s="2">
        <v>24000</v>
      </c>
      <c r="F10" s="3">
        <v>24480</v>
      </c>
    </row>
    <row r="11" spans="1:6" x14ac:dyDescent="0.25">
      <c r="A11" t="s">
        <v>23</v>
      </c>
      <c r="B11" t="s">
        <v>21</v>
      </c>
      <c r="C11" t="s">
        <v>17</v>
      </c>
      <c r="D11" t="s">
        <v>44</v>
      </c>
      <c r="E11" s="2">
        <v>28800</v>
      </c>
      <c r="F11" s="3">
        <v>29376</v>
      </c>
    </row>
    <row r="12" spans="1:6" x14ac:dyDescent="0.25">
      <c r="A12" t="s">
        <v>24</v>
      </c>
      <c r="B12" t="s">
        <v>21</v>
      </c>
      <c r="C12" t="s">
        <v>17</v>
      </c>
      <c r="D12" t="s">
        <v>44</v>
      </c>
      <c r="E12" s="2">
        <v>34560</v>
      </c>
      <c r="F12" s="3">
        <v>35251.199999999997</v>
      </c>
    </row>
    <row r="13" spans="1:6" x14ac:dyDescent="0.25">
      <c r="A13" t="s">
        <v>25</v>
      </c>
      <c r="B13" t="s">
        <v>26</v>
      </c>
      <c r="C13" t="s">
        <v>17</v>
      </c>
      <c r="D13" t="s">
        <v>43</v>
      </c>
      <c r="E13" s="2">
        <v>41472</v>
      </c>
      <c r="F13" s="3">
        <v>42301.440000000002</v>
      </c>
    </row>
    <row r="14" spans="1:6" x14ac:dyDescent="0.25">
      <c r="A14" t="s">
        <v>27</v>
      </c>
      <c r="B14" t="s">
        <v>28</v>
      </c>
      <c r="C14" t="s">
        <v>29</v>
      </c>
      <c r="D14" t="s">
        <v>43</v>
      </c>
      <c r="E14" s="2">
        <v>49766.400000000001</v>
      </c>
      <c r="F14" s="3">
        <v>50761.728000000003</v>
      </c>
    </row>
    <row r="15" spans="1:6" x14ac:dyDescent="0.25">
      <c r="A15" t="s">
        <v>30</v>
      </c>
      <c r="B15" t="s">
        <v>28</v>
      </c>
      <c r="C15" t="s">
        <v>29</v>
      </c>
      <c r="D15" t="s">
        <v>43</v>
      </c>
      <c r="E15" s="2">
        <v>10500</v>
      </c>
      <c r="F15" s="3">
        <v>10710</v>
      </c>
    </row>
    <row r="16" spans="1:6" x14ac:dyDescent="0.25">
      <c r="A16" t="s">
        <v>31</v>
      </c>
      <c r="B16" t="s">
        <v>28</v>
      </c>
      <c r="C16" t="s">
        <v>29</v>
      </c>
      <c r="D16" t="s">
        <v>43</v>
      </c>
      <c r="E16" s="2">
        <f>F16*1.1</f>
        <v>23731.107840000001</v>
      </c>
      <c r="F16" s="3">
        <v>21573.734399999998</v>
      </c>
    </row>
  </sheetData>
  <sheetProtection formatCells="0" formatColumns="0" formatRows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2" tint="-0.499984740745262"/>
  </sheetPr>
  <dimension ref="A1:F9"/>
  <sheetViews>
    <sheetView showGridLines="0" workbookViewId="0">
      <selection activeCell="I14" sqref="I14"/>
    </sheetView>
  </sheetViews>
  <sheetFormatPr defaultRowHeight="15" x14ac:dyDescent="0.25"/>
  <cols>
    <col min="1" max="1" width="9.85546875" customWidth="1"/>
  </cols>
  <sheetData>
    <row r="1" spans="1:6" ht="24.75" customHeight="1" x14ac:dyDescent="0.3">
      <c r="A1" s="4"/>
      <c r="B1" s="4"/>
      <c r="C1" s="4"/>
      <c r="D1" s="4"/>
      <c r="E1" s="4"/>
      <c r="F1" s="4"/>
    </row>
    <row r="2" spans="1:6" ht="30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41</v>
      </c>
      <c r="F2" s="1" t="s">
        <v>42</v>
      </c>
    </row>
    <row r="3" spans="1:6" x14ac:dyDescent="0.25">
      <c r="A3" t="s">
        <v>32</v>
      </c>
      <c r="B3" t="s">
        <v>28</v>
      </c>
      <c r="C3" t="s">
        <v>29</v>
      </c>
      <c r="D3" t="s">
        <v>44</v>
      </c>
      <c r="E3" s="2">
        <v>25380.863999999998</v>
      </c>
      <c r="F3" s="3">
        <v>25888.48128</v>
      </c>
    </row>
    <row r="4" spans="1:6" x14ac:dyDescent="0.25">
      <c r="A4" t="s">
        <v>33</v>
      </c>
      <c r="B4" t="s">
        <v>34</v>
      </c>
      <c r="C4" t="s">
        <v>29</v>
      </c>
      <c r="D4" t="s">
        <v>44</v>
      </c>
      <c r="E4" s="2">
        <v>30457.036799999994</v>
      </c>
      <c r="F4" s="3">
        <v>31066.177535999996</v>
      </c>
    </row>
    <row r="5" spans="1:6" x14ac:dyDescent="0.25">
      <c r="A5" t="s">
        <v>35</v>
      </c>
      <c r="B5" t="s">
        <v>34</v>
      </c>
      <c r="C5" t="s">
        <v>29</v>
      </c>
      <c r="D5" t="s">
        <v>44</v>
      </c>
      <c r="E5" s="2">
        <v>10200</v>
      </c>
      <c r="F5" s="3">
        <v>10404</v>
      </c>
    </row>
    <row r="6" spans="1:6" x14ac:dyDescent="0.25">
      <c r="A6" t="s">
        <v>36</v>
      </c>
      <c r="B6" t="s">
        <v>34</v>
      </c>
      <c r="C6" t="s">
        <v>29</v>
      </c>
      <c r="D6" t="s">
        <v>43</v>
      </c>
      <c r="E6" s="2">
        <v>12240</v>
      </c>
      <c r="F6" s="3">
        <v>12484.800000000001</v>
      </c>
    </row>
    <row r="7" spans="1:6" x14ac:dyDescent="0.25">
      <c r="A7" t="s">
        <v>37</v>
      </c>
      <c r="B7" t="s">
        <v>34</v>
      </c>
      <c r="C7" t="s">
        <v>29</v>
      </c>
      <c r="D7" t="s">
        <v>44</v>
      </c>
      <c r="E7" s="2">
        <v>14688</v>
      </c>
      <c r="F7" s="3">
        <v>14981.76</v>
      </c>
    </row>
    <row r="8" spans="1:6" x14ac:dyDescent="0.25">
      <c r="A8" t="s">
        <v>38</v>
      </c>
      <c r="B8" t="s">
        <v>39</v>
      </c>
      <c r="C8" t="s">
        <v>29</v>
      </c>
      <c r="D8" t="s">
        <v>44</v>
      </c>
      <c r="E8" s="2">
        <v>10100</v>
      </c>
      <c r="F8" s="3">
        <v>10302</v>
      </c>
    </row>
    <row r="9" spans="1:6" x14ac:dyDescent="0.25">
      <c r="A9" t="s">
        <v>40</v>
      </c>
      <c r="B9" t="s">
        <v>39</v>
      </c>
      <c r="C9" t="s">
        <v>29</v>
      </c>
      <c r="D9" t="s">
        <v>44</v>
      </c>
      <c r="E9" s="2">
        <v>10300</v>
      </c>
      <c r="F9" s="3">
        <v>10506</v>
      </c>
    </row>
  </sheetData>
  <sheetProtection formatCells="0" formatColumns="0" formatRows="0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1"/>
  <dimension ref="A2:C9"/>
  <sheetViews>
    <sheetView showGridLines="0" workbookViewId="0">
      <selection activeCell="F8" sqref="F8"/>
    </sheetView>
  </sheetViews>
  <sheetFormatPr defaultRowHeight="15" x14ac:dyDescent="0.25"/>
  <cols>
    <col min="1" max="1" width="26.42578125" customWidth="1"/>
    <col min="2" max="2" width="10.28515625" customWidth="1"/>
    <col min="3" max="3" width="10.42578125" customWidth="1"/>
  </cols>
  <sheetData>
    <row r="2" spans="1:3" ht="15.75" thickBot="1" x14ac:dyDescent="0.3"/>
    <row r="3" spans="1:3" ht="30.75" thickBot="1" x14ac:dyDescent="0.3">
      <c r="A3" s="6" t="s">
        <v>46</v>
      </c>
      <c r="B3" s="10"/>
      <c r="C3" s="11"/>
    </row>
    <row r="4" spans="1:3" x14ac:dyDescent="0.25">
      <c r="A4" s="6"/>
    </row>
    <row r="5" spans="1:3" x14ac:dyDescent="0.25">
      <c r="A5" t="s">
        <v>47</v>
      </c>
    </row>
    <row r="6" spans="1:3" x14ac:dyDescent="0.25">
      <c r="A6" t="s">
        <v>48</v>
      </c>
    </row>
    <row r="7" spans="1:3" x14ac:dyDescent="0.25">
      <c r="A7" t="s">
        <v>49</v>
      </c>
    </row>
    <row r="8" spans="1:3" x14ac:dyDescent="0.25">
      <c r="A8" t="s">
        <v>50</v>
      </c>
    </row>
    <row r="9" spans="1:3" x14ac:dyDescent="0.25">
      <c r="A9" t="s">
        <v>51</v>
      </c>
    </row>
  </sheetData>
  <sheetProtection formatCells="0" formatColumns="0" formatRows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Simple_Select2">
                <anchor moveWithCells="1" sizeWithCells="1">
                  <from>
                    <xdr:col>3</xdr:col>
                    <xdr:colOff>123825</xdr:colOff>
                    <xdr:row>1</xdr:row>
                    <xdr:rowOff>161925</xdr:rowOff>
                  </from>
                  <to>
                    <xdr:col>4</xdr:col>
                    <xdr:colOff>428625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2"/>
  <dimension ref="A1:F27"/>
  <sheetViews>
    <sheetView showGridLines="0" workbookViewId="0">
      <selection activeCell="H15" sqref="H15"/>
    </sheetView>
  </sheetViews>
  <sheetFormatPr defaultRowHeight="15" x14ac:dyDescent="0.25"/>
  <sheetData>
    <row r="1" spans="1:6" ht="18.75" x14ac:dyDescent="0.3">
      <c r="A1" s="4"/>
      <c r="B1" s="4"/>
      <c r="C1" s="4"/>
      <c r="D1" s="4"/>
      <c r="E1" s="4"/>
    </row>
    <row r="2" spans="1:6" ht="30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41</v>
      </c>
    </row>
    <row r="3" spans="1:6" x14ac:dyDescent="0.25">
      <c r="A3" s="7" t="s">
        <v>12</v>
      </c>
      <c r="B3" s="7" t="s">
        <v>11</v>
      </c>
      <c r="C3" s="7" t="s">
        <v>6</v>
      </c>
      <c r="D3" s="7" t="s">
        <v>44</v>
      </c>
      <c r="E3" s="8">
        <v>12360</v>
      </c>
      <c r="F3" s="3"/>
    </row>
    <row r="4" spans="1:6" x14ac:dyDescent="0.25">
      <c r="A4" s="7" t="s">
        <v>13</v>
      </c>
      <c r="B4" s="7" t="s">
        <v>11</v>
      </c>
      <c r="C4" s="7" t="s">
        <v>6</v>
      </c>
      <c r="D4" s="7" t="s">
        <v>44</v>
      </c>
      <c r="E4" s="8">
        <v>14832</v>
      </c>
      <c r="F4" s="3"/>
    </row>
    <row r="5" spans="1:6" x14ac:dyDescent="0.25">
      <c r="A5" s="7" t="s">
        <v>14</v>
      </c>
      <c r="B5" s="7" t="s">
        <v>11</v>
      </c>
      <c r="C5" s="7" t="s">
        <v>6</v>
      </c>
      <c r="D5" s="7" t="s">
        <v>44</v>
      </c>
      <c r="E5" s="8">
        <v>17798.399999999998</v>
      </c>
      <c r="F5" s="3"/>
    </row>
    <row r="6" spans="1:6" x14ac:dyDescent="0.25">
      <c r="A6" s="7" t="s">
        <v>15</v>
      </c>
      <c r="B6" s="7" t="s">
        <v>16</v>
      </c>
      <c r="C6" s="7" t="s">
        <v>17</v>
      </c>
      <c r="D6" s="7" t="s">
        <v>43</v>
      </c>
      <c r="E6" s="8">
        <v>10400</v>
      </c>
      <c r="F6" s="3"/>
    </row>
    <row r="7" spans="1:6" x14ac:dyDescent="0.25">
      <c r="A7" s="7" t="s">
        <v>18</v>
      </c>
      <c r="B7" s="7" t="s">
        <v>16</v>
      </c>
      <c r="C7" s="7" t="s">
        <v>17</v>
      </c>
      <c r="D7" s="7" t="s">
        <v>44</v>
      </c>
      <c r="E7" s="8">
        <v>12729.6</v>
      </c>
      <c r="F7" s="3"/>
    </row>
    <row r="8" spans="1:6" x14ac:dyDescent="0.25">
      <c r="A8" s="7" t="s">
        <v>19</v>
      </c>
      <c r="B8" s="7" t="s">
        <v>16</v>
      </c>
      <c r="C8" s="7" t="s">
        <v>17</v>
      </c>
      <c r="D8" s="7" t="s">
        <v>44</v>
      </c>
      <c r="E8" s="8">
        <v>14976</v>
      </c>
      <c r="F8" s="3"/>
    </row>
    <row r="9" spans="1:6" x14ac:dyDescent="0.25">
      <c r="A9" s="7" t="s">
        <v>20</v>
      </c>
      <c r="B9" s="7" t="s">
        <v>21</v>
      </c>
      <c r="C9" s="7" t="s">
        <v>17</v>
      </c>
      <c r="D9" s="7" t="s">
        <v>44</v>
      </c>
      <c r="E9" s="8">
        <v>20000</v>
      </c>
      <c r="F9" s="3"/>
    </row>
    <row r="10" spans="1:6" x14ac:dyDescent="0.25">
      <c r="A10" s="7" t="s">
        <v>22</v>
      </c>
      <c r="B10" s="7" t="s">
        <v>21</v>
      </c>
      <c r="C10" s="7" t="s">
        <v>17</v>
      </c>
      <c r="D10" s="7" t="s">
        <v>43</v>
      </c>
      <c r="E10" s="8">
        <v>24000</v>
      </c>
      <c r="F10" s="3"/>
    </row>
    <row r="11" spans="1:6" x14ac:dyDescent="0.25">
      <c r="A11" s="7" t="s">
        <v>23</v>
      </c>
      <c r="B11" s="7" t="s">
        <v>21</v>
      </c>
      <c r="C11" s="7" t="s">
        <v>17</v>
      </c>
      <c r="D11" s="7" t="s">
        <v>44</v>
      </c>
      <c r="E11" s="8">
        <v>28800</v>
      </c>
      <c r="F11" s="3"/>
    </row>
    <row r="12" spans="1:6" x14ac:dyDescent="0.25">
      <c r="A12" s="7" t="s">
        <v>24</v>
      </c>
      <c r="B12" s="7" t="s">
        <v>21</v>
      </c>
      <c r="C12" s="7" t="s">
        <v>17</v>
      </c>
      <c r="D12" s="7" t="s">
        <v>44</v>
      </c>
      <c r="E12" s="8">
        <v>34560</v>
      </c>
      <c r="F12" s="3"/>
    </row>
    <row r="13" spans="1:6" x14ac:dyDescent="0.25">
      <c r="A13" s="7" t="s">
        <v>25</v>
      </c>
      <c r="B13" s="7" t="s">
        <v>26</v>
      </c>
      <c r="C13" s="7" t="s">
        <v>17</v>
      </c>
      <c r="D13" s="7" t="s">
        <v>43</v>
      </c>
      <c r="E13" s="8">
        <v>41472</v>
      </c>
      <c r="F13" s="3"/>
    </row>
    <row r="14" spans="1:6" x14ac:dyDescent="0.25">
      <c r="A14" s="7" t="s">
        <v>27</v>
      </c>
      <c r="B14" s="7" t="s">
        <v>28</v>
      </c>
      <c r="C14" s="7" t="s">
        <v>29</v>
      </c>
      <c r="D14" s="7" t="s">
        <v>43</v>
      </c>
      <c r="E14" s="8">
        <v>49766.400000000001</v>
      </c>
      <c r="F14" s="3"/>
    </row>
    <row r="15" spans="1:6" x14ac:dyDescent="0.25">
      <c r="A15" s="7" t="s">
        <v>30</v>
      </c>
      <c r="B15" s="7" t="s">
        <v>28</v>
      </c>
      <c r="C15" s="7" t="s">
        <v>29</v>
      </c>
      <c r="D15" s="7" t="s">
        <v>43</v>
      </c>
      <c r="E15" s="8">
        <v>10500</v>
      </c>
      <c r="F15" s="3"/>
    </row>
    <row r="16" spans="1:6" x14ac:dyDescent="0.25">
      <c r="A16" s="7" t="s">
        <v>31</v>
      </c>
      <c r="B16" s="7" t="s">
        <v>28</v>
      </c>
      <c r="C16" s="7" t="s">
        <v>29</v>
      </c>
      <c r="D16" s="7" t="s">
        <v>43</v>
      </c>
      <c r="E16" s="8">
        <v>23731.107840000001</v>
      </c>
      <c r="F16" s="3"/>
    </row>
    <row r="18" spans="1:5" x14ac:dyDescent="0.25">
      <c r="A18" s="7"/>
      <c r="B18" s="7"/>
      <c r="C18" s="7"/>
      <c r="D18" s="7"/>
      <c r="E18" s="8"/>
    </row>
    <row r="19" spans="1:5" x14ac:dyDescent="0.25">
      <c r="A19" s="7"/>
      <c r="B19" s="7"/>
      <c r="C19" s="7"/>
      <c r="D19" s="7"/>
      <c r="E19" s="8"/>
    </row>
    <row r="20" spans="1:5" x14ac:dyDescent="0.25">
      <c r="A20" s="7"/>
      <c r="B20" s="7"/>
      <c r="C20" s="7"/>
      <c r="D20" s="7"/>
      <c r="E20" s="8"/>
    </row>
    <row r="21" spans="1:5" x14ac:dyDescent="0.25">
      <c r="A21" s="7"/>
      <c r="B21" s="7"/>
      <c r="C21" s="7"/>
      <c r="D21" s="7"/>
      <c r="E21" s="8"/>
    </row>
    <row r="22" spans="1:5" x14ac:dyDescent="0.25">
      <c r="A22" s="7"/>
      <c r="B22" s="7"/>
      <c r="C22" s="7"/>
      <c r="D22" s="7"/>
      <c r="E22" s="8"/>
    </row>
    <row r="23" spans="1:5" x14ac:dyDescent="0.25">
      <c r="A23" s="7"/>
      <c r="B23" s="7"/>
      <c r="C23" s="7"/>
      <c r="D23" s="7"/>
      <c r="E23" s="8"/>
    </row>
    <row r="24" spans="1:5" x14ac:dyDescent="0.25">
      <c r="A24" s="7"/>
      <c r="B24" s="7"/>
      <c r="C24" s="7"/>
      <c r="D24" s="7"/>
      <c r="E24" s="8"/>
    </row>
    <row r="25" spans="1:5" x14ac:dyDescent="0.25">
      <c r="A25" s="7"/>
      <c r="B25" s="7"/>
      <c r="C25" s="7"/>
      <c r="D25" s="7"/>
      <c r="E25" s="8"/>
    </row>
    <row r="26" spans="1:5" x14ac:dyDescent="0.25">
      <c r="A26" s="7"/>
      <c r="B26" s="7"/>
      <c r="C26" s="7"/>
      <c r="D26" s="7"/>
      <c r="E26" s="8"/>
    </row>
    <row r="27" spans="1:5" x14ac:dyDescent="0.25">
      <c r="A27" s="7"/>
      <c r="B27" s="7"/>
      <c r="C27" s="7"/>
      <c r="D27" s="7"/>
      <c r="E27" s="8"/>
    </row>
  </sheetData>
  <sheetProtection formatCells="0" formatColumns="0" formatRows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3" name="Button 3">
              <controlPr defaultSize="0" autoFill="0" autoPict="0" macro="[0]!MessageboxYesNo2">
                <anchor moveWithCells="1" sizeWithCells="1">
                  <from>
                    <xdr:col>6</xdr:col>
                    <xdr:colOff>561975</xdr:colOff>
                    <xdr:row>3</xdr:row>
                    <xdr:rowOff>9525</xdr:rowOff>
                  </from>
                  <to>
                    <xdr:col>9</xdr:col>
                    <xdr:colOff>219075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4" name="Button 4">
              <controlPr defaultSize="0" autoFill="0" autoPict="0" macro="[0]!Top_3_rev_Debug">
                <anchor moveWithCells="1" sizeWithCells="1">
                  <from>
                    <xdr:col>6</xdr:col>
                    <xdr:colOff>581025</xdr:colOff>
                    <xdr:row>1</xdr:row>
                    <xdr:rowOff>28575</xdr:rowOff>
                  </from>
                  <to>
                    <xdr:col>9</xdr:col>
                    <xdr:colOff>238125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6</vt:i4>
      </vt:variant>
    </vt:vector>
  </HeadingPairs>
  <TitlesOfParts>
    <vt:vector size="6" baseType="lpstr">
      <vt:lpstr>SpecialCells</vt:lpstr>
      <vt:lpstr>SummaryData</vt:lpstr>
      <vt:lpstr>NewData#1</vt:lpstr>
      <vt:lpstr>NewData#2</vt:lpstr>
      <vt:lpstr>Status</vt:lpstr>
      <vt:lpstr>Delete</vt:lpstr>
    </vt:vector>
  </TitlesOfParts>
  <Company>www.xelplus.com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dc:description>This is part of my online Excel VBA course on Udemy.com</dc:description>
  <cp:lastModifiedBy>admin</cp:lastModifiedBy>
  <dcterms:created xsi:type="dcterms:W3CDTF">2018-01-01T10:19:59Z</dcterms:created>
  <dcterms:modified xsi:type="dcterms:W3CDTF">2021-10-15T14:58:13Z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InsertSheet_1" visible="true" label="Insert Sheet" imageMso="FileNew" onAction="InsertSheet"/>
      </mso:documentControls>
    </mso:qat>
  </mso:ribbon>
</mso:customUI>
</file>